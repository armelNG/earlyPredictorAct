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act\"/>
    </mc:Choice>
  </mc:AlternateContent>
  <xr:revisionPtr revIDLastSave="0" documentId="13_ncr:1_{C25829F2-6005-461B-B24E-DF2DAE44FF0E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Act-Pass_svm" sheetId="1" r:id="rId1"/>
    <sheet name="Act-Fail_svm" sheetId="5" r:id="rId2"/>
    <sheet name="Act-Dropout_svm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5" i="4"/>
  <c r="C6" i="4" s="1"/>
  <c r="C7" i="4" s="1"/>
  <c r="C8" i="4" s="1"/>
  <c r="D5" i="4"/>
  <c r="D12" i="4" s="1"/>
  <c r="E5" i="4"/>
  <c r="E12" i="4" s="1"/>
  <c r="F5" i="4"/>
  <c r="F12" i="4" s="1"/>
  <c r="G5" i="4"/>
  <c r="G12" i="4" s="1"/>
  <c r="B5" i="1"/>
  <c r="C5" i="1"/>
  <c r="C12" i="1" s="1"/>
  <c r="D5" i="1"/>
  <c r="D6" i="1" s="1"/>
  <c r="E5" i="1"/>
  <c r="E6" i="1" s="1"/>
  <c r="F5" i="1"/>
  <c r="F12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P12" i="5"/>
  <c r="AD10" i="5"/>
  <c r="AD11" i="5" s="1"/>
  <c r="AC10" i="5"/>
  <c r="AC11" i="5" s="1"/>
  <c r="AB10" i="5"/>
  <c r="AA10" i="5"/>
  <c r="Z10" i="5"/>
  <c r="Y10" i="5"/>
  <c r="X10" i="5"/>
  <c r="W10" i="5"/>
  <c r="V10" i="5"/>
  <c r="V11" i="5" s="1"/>
  <c r="U10" i="5"/>
  <c r="T10" i="5"/>
  <c r="S10" i="5"/>
  <c r="R10" i="5"/>
  <c r="Q10" i="5"/>
  <c r="P10" i="5"/>
  <c r="O10" i="5"/>
  <c r="N10" i="5"/>
  <c r="M10" i="5"/>
  <c r="M11" i="5" s="1"/>
  <c r="L10" i="5"/>
  <c r="K10" i="5"/>
  <c r="K11" i="5" s="1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C12" i="4"/>
  <c r="B12" i="4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11" i="4" s="1"/>
  <c r="B6" i="4"/>
  <c r="B7" i="4" s="1"/>
  <c r="B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H5" i="4"/>
  <c r="H6" i="4" s="1"/>
  <c r="D12" i="1"/>
  <c r="I11" i="1"/>
  <c r="L11" i="1"/>
  <c r="Q11" i="1"/>
  <c r="C10" i="1"/>
  <c r="D10" i="1"/>
  <c r="E10" i="1"/>
  <c r="F10" i="1"/>
  <c r="G10" i="1"/>
  <c r="H10" i="1"/>
  <c r="I10" i="1"/>
  <c r="J10" i="1"/>
  <c r="J11" i="1" s="1"/>
  <c r="K10" i="1"/>
  <c r="L10" i="1"/>
  <c r="M10" i="1"/>
  <c r="N10" i="1"/>
  <c r="N11" i="1" s="1"/>
  <c r="O10" i="1"/>
  <c r="P10" i="1"/>
  <c r="P11" i="1" s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W11" i="1" s="1"/>
  <c r="X9" i="1"/>
  <c r="Y9" i="1"/>
  <c r="Z9" i="1"/>
  <c r="AA9" i="1"/>
  <c r="AA11" i="1" s="1"/>
  <c r="AB9" i="1"/>
  <c r="AC9" i="1"/>
  <c r="AD9" i="1"/>
  <c r="L7" i="1"/>
  <c r="L8" i="1" s="1"/>
  <c r="B11" i="1"/>
  <c r="B12" i="1"/>
  <c r="B10" i="1"/>
  <c r="B9" i="1"/>
  <c r="AA5" i="1"/>
  <c r="AA12" i="1" s="1"/>
  <c r="T5" i="1"/>
  <c r="T12" i="1" s="1"/>
  <c r="I5" i="1"/>
  <c r="I6" i="1" s="1"/>
  <c r="J5" i="1"/>
  <c r="J6" i="1" s="1"/>
  <c r="K5" i="1"/>
  <c r="K6" i="1" s="1"/>
  <c r="L5" i="1"/>
  <c r="L6" i="1" s="1"/>
  <c r="M5" i="1"/>
  <c r="M12" i="1" s="1"/>
  <c r="N5" i="1"/>
  <c r="N6" i="1" s="1"/>
  <c r="O5" i="1"/>
  <c r="O12" i="1" s="1"/>
  <c r="P5" i="1"/>
  <c r="P6" i="1" s="1"/>
  <c r="Q5" i="1"/>
  <c r="Q6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Z5" i="1"/>
  <c r="Z6" i="1" s="1"/>
  <c r="AA6" i="1"/>
  <c r="AB5" i="1"/>
  <c r="AB12" i="1" s="1"/>
  <c r="AC5" i="1"/>
  <c r="AC6" i="1" s="1"/>
  <c r="AD5" i="1"/>
  <c r="AD6" i="1" s="1"/>
  <c r="H5" i="1"/>
  <c r="H6" i="1" s="1"/>
  <c r="B6" i="1"/>
  <c r="B7" i="1" s="1"/>
  <c r="B8" i="1" s="1"/>
  <c r="D6" i="4" l="1"/>
  <c r="D7" i="4" s="1"/>
  <c r="D8" i="4" s="1"/>
  <c r="AD11" i="1"/>
  <c r="AA7" i="1"/>
  <c r="AA8" i="1" s="1"/>
  <c r="Z7" i="1"/>
  <c r="Z8" i="1" s="1"/>
  <c r="Z11" i="1"/>
  <c r="Y11" i="1"/>
  <c r="X7" i="1"/>
  <c r="X8" i="1" s="1"/>
  <c r="W12" i="1"/>
  <c r="V11" i="1"/>
  <c r="S11" i="1"/>
  <c r="S7" i="1"/>
  <c r="S8" i="1" s="1"/>
  <c r="O11" i="1"/>
  <c r="N12" i="1"/>
  <c r="L12" i="1"/>
  <c r="K7" i="1"/>
  <c r="K8" i="1" s="1"/>
  <c r="G12" i="1"/>
  <c r="F11" i="1"/>
  <c r="E11" i="1"/>
  <c r="D11" i="1"/>
  <c r="Y6" i="4"/>
  <c r="Y7" i="4" s="1"/>
  <c r="Y8" i="4" s="1"/>
  <c r="X11" i="4"/>
  <c r="W6" i="4"/>
  <c r="W7" i="4" s="1"/>
  <c r="W8" i="4" s="1"/>
  <c r="U11" i="4"/>
  <c r="K11" i="4"/>
  <c r="I11" i="4"/>
  <c r="I6" i="4"/>
  <c r="I7" i="4" s="1"/>
  <c r="I8" i="4" s="1"/>
  <c r="I12" i="4"/>
  <c r="F11" i="4"/>
  <c r="F6" i="4"/>
  <c r="F7" i="4" s="1"/>
  <c r="F8" i="4" s="1"/>
  <c r="E6" i="4"/>
  <c r="E7" i="4" s="1"/>
  <c r="E8" i="4" s="1"/>
  <c r="G6" i="4"/>
  <c r="G7" i="4" s="1"/>
  <c r="G8" i="4" s="1"/>
  <c r="AA11" i="5"/>
  <c r="Z11" i="5"/>
  <c r="Y6" i="5"/>
  <c r="Y7" i="5" s="1"/>
  <c r="Y8" i="5" s="1"/>
  <c r="X6" i="5"/>
  <c r="X7" i="5" s="1"/>
  <c r="X8" i="5" s="1"/>
  <c r="W11" i="5"/>
  <c r="S6" i="5"/>
  <c r="S7" i="5" s="1"/>
  <c r="S8" i="5" s="1"/>
  <c r="R11" i="5"/>
  <c r="O11" i="5"/>
  <c r="L11" i="5"/>
  <c r="G6" i="5"/>
  <c r="G7" i="5" s="1"/>
  <c r="G8" i="5" s="1"/>
  <c r="AD12" i="1"/>
  <c r="AD7" i="1"/>
  <c r="AD8" i="1" s="1"/>
  <c r="AC11" i="1"/>
  <c r="AC12" i="1"/>
  <c r="AC7" i="1"/>
  <c r="AC8" i="1" s="1"/>
  <c r="AB11" i="1"/>
  <c r="AB6" i="1"/>
  <c r="AB7" i="1" s="1"/>
  <c r="AB8" i="1" s="1"/>
  <c r="Z12" i="1"/>
  <c r="Y6" i="1"/>
  <c r="Y7" i="1" s="1"/>
  <c r="Y8" i="1" s="1"/>
  <c r="Y12" i="1"/>
  <c r="X11" i="1"/>
  <c r="X12" i="1"/>
  <c r="W7" i="1"/>
  <c r="W8" i="1" s="1"/>
  <c r="V7" i="1"/>
  <c r="V8" i="1" s="1"/>
  <c r="V12" i="1"/>
  <c r="U11" i="1"/>
  <c r="U7" i="1"/>
  <c r="U8" i="1" s="1"/>
  <c r="U12" i="1"/>
  <c r="T11" i="1"/>
  <c r="T6" i="1"/>
  <c r="T7" i="1" s="1"/>
  <c r="T8" i="1" s="1"/>
  <c r="S12" i="1"/>
  <c r="R11" i="1"/>
  <c r="R12" i="1"/>
  <c r="R7" i="1"/>
  <c r="R8" i="1" s="1"/>
  <c r="Q12" i="1"/>
  <c r="Q7" i="1"/>
  <c r="Q8" i="1" s="1"/>
  <c r="P12" i="1"/>
  <c r="P7" i="1"/>
  <c r="P8" i="1" s="1"/>
  <c r="O6" i="1"/>
  <c r="O7" i="1" s="1"/>
  <c r="O8" i="1" s="1"/>
  <c r="N7" i="1"/>
  <c r="N8" i="1" s="1"/>
  <c r="M11" i="1"/>
  <c r="M6" i="1"/>
  <c r="M7" i="1" s="1"/>
  <c r="M8" i="1" s="1"/>
  <c r="K11" i="1"/>
  <c r="K12" i="1"/>
  <c r="J12" i="1"/>
  <c r="J7" i="1"/>
  <c r="J8" i="1" s="1"/>
  <c r="I12" i="1"/>
  <c r="I7" i="1"/>
  <c r="I8" i="1" s="1"/>
  <c r="H11" i="1"/>
  <c r="H7" i="1"/>
  <c r="H8" i="1" s="1"/>
  <c r="H12" i="1"/>
  <c r="G11" i="1"/>
  <c r="F6" i="1"/>
  <c r="F7" i="1" s="1"/>
  <c r="F8" i="1" s="1"/>
  <c r="E12" i="1"/>
  <c r="E7" i="1"/>
  <c r="E8" i="1" s="1"/>
  <c r="D7" i="1"/>
  <c r="D8" i="1" s="1"/>
  <c r="C11" i="1"/>
  <c r="C6" i="1"/>
  <c r="C7" i="1" s="1"/>
  <c r="C8" i="1" s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</calcChain>
</file>

<file path=xl/sharedStrings.xml><?xml version="1.0" encoding="utf-8"?>
<sst xmlns="http://schemas.openxmlformats.org/spreadsheetml/2006/main" count="6071" uniqueCount="54">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</sst>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'Act-Pass_svm'!$A$7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'Act-Pass_svm'!$B$7:$AD$7</c:f>
              <c:numCache>
                <c:formatCode>General</c:formatCode>
                <c:ptCount val="29"/>
                <c:pt idx="0">
                  <c:v>0.875</c:v>
                </c:pt>
                <c:pt idx="1">
                  <c:v>0.875</c:v>
                </c:pt>
                <c:pt idx="2">
                  <c:v>0.875</c:v>
                </c:pt>
                <c:pt idx="3">
                  <c:v>0.875</c:v>
                </c:pt>
                <c:pt idx="4">
                  <c:v>0.875</c:v>
                </c:pt>
                <c:pt idx="5">
                  <c:v>0.875</c:v>
                </c:pt>
                <c:pt idx="6">
                  <c:v>0.875</c:v>
                </c:pt>
                <c:pt idx="7">
                  <c:v>0.875</c:v>
                </c:pt>
                <c:pt idx="8">
                  <c:v>0.86</c:v>
                </c:pt>
                <c:pt idx="9">
                  <c:v>0.86499999999999999</c:v>
                </c:pt>
                <c:pt idx="10">
                  <c:v>0.86</c:v>
                </c:pt>
                <c:pt idx="11">
                  <c:v>0.87</c:v>
                </c:pt>
                <c:pt idx="12">
                  <c:v>0.88</c:v>
                </c:pt>
                <c:pt idx="13">
                  <c:v>0.89</c:v>
                </c:pt>
                <c:pt idx="14">
                  <c:v>0.88</c:v>
                </c:pt>
                <c:pt idx="15">
                  <c:v>0.89</c:v>
                </c:pt>
                <c:pt idx="16">
                  <c:v>0.88500000000000001</c:v>
                </c:pt>
                <c:pt idx="17">
                  <c:v>0.88500000000000001</c:v>
                </c:pt>
                <c:pt idx="18">
                  <c:v>0.92</c:v>
                </c:pt>
                <c:pt idx="19">
                  <c:v>0.92</c:v>
                </c:pt>
                <c:pt idx="20">
                  <c:v>0.93</c:v>
                </c:pt>
                <c:pt idx="21">
                  <c:v>0.93</c:v>
                </c:pt>
                <c:pt idx="22">
                  <c:v>0.93</c:v>
                </c:pt>
                <c:pt idx="23">
                  <c:v>0.93</c:v>
                </c:pt>
                <c:pt idx="24">
                  <c:v>0.92500000000000004</c:v>
                </c:pt>
                <c:pt idx="25">
                  <c:v>0.92500000000000004</c:v>
                </c:pt>
                <c:pt idx="26">
                  <c:v>0.92500000000000004</c:v>
                </c:pt>
                <c:pt idx="27">
                  <c:v>0.92500000000000004</c:v>
                </c:pt>
                <c:pt idx="28">
                  <c:v>0.92500000000000004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'Act-Pass_svm'!$A$9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'Act-Pass_svm'!$B$9:$AD$9</c:f>
              <c:numCache>
                <c:formatCode>General</c:formatCode>
                <c:ptCount val="29"/>
                <c:pt idx="0">
                  <c:v>0.88297872340425532</c:v>
                </c:pt>
                <c:pt idx="1">
                  <c:v>0.88297872340425532</c:v>
                </c:pt>
                <c:pt idx="2">
                  <c:v>0.88297872340425532</c:v>
                </c:pt>
                <c:pt idx="3">
                  <c:v>0.88297872340425532</c:v>
                </c:pt>
                <c:pt idx="4">
                  <c:v>0.88297872340425532</c:v>
                </c:pt>
                <c:pt idx="5">
                  <c:v>0.88297872340425532</c:v>
                </c:pt>
                <c:pt idx="6">
                  <c:v>0.88297872340425532</c:v>
                </c:pt>
                <c:pt idx="7">
                  <c:v>0.88297872340425532</c:v>
                </c:pt>
                <c:pt idx="8">
                  <c:v>0.87234042553191493</c:v>
                </c:pt>
                <c:pt idx="9">
                  <c:v>0.88297872340425532</c:v>
                </c:pt>
                <c:pt idx="10">
                  <c:v>0.87234042553191493</c:v>
                </c:pt>
                <c:pt idx="11">
                  <c:v>0.8936170212765957</c:v>
                </c:pt>
                <c:pt idx="12">
                  <c:v>0.9042553191489362</c:v>
                </c:pt>
                <c:pt idx="13">
                  <c:v>0.92553191489361697</c:v>
                </c:pt>
                <c:pt idx="14">
                  <c:v>0.91489361702127658</c:v>
                </c:pt>
                <c:pt idx="15">
                  <c:v>0.93617021276595747</c:v>
                </c:pt>
                <c:pt idx="16">
                  <c:v>0.93617021276595747</c:v>
                </c:pt>
                <c:pt idx="17">
                  <c:v>0.93617021276595747</c:v>
                </c:pt>
                <c:pt idx="18">
                  <c:v>0.95744680851063835</c:v>
                </c:pt>
                <c:pt idx="19">
                  <c:v>0.94680851063829785</c:v>
                </c:pt>
                <c:pt idx="20">
                  <c:v>0.95744680851063835</c:v>
                </c:pt>
                <c:pt idx="21">
                  <c:v>0.95744680851063835</c:v>
                </c:pt>
                <c:pt idx="22">
                  <c:v>0.95744680851063835</c:v>
                </c:pt>
                <c:pt idx="23">
                  <c:v>0.94680851063829785</c:v>
                </c:pt>
                <c:pt idx="24">
                  <c:v>0.94680851063829785</c:v>
                </c:pt>
                <c:pt idx="25">
                  <c:v>0.94680851063829785</c:v>
                </c:pt>
                <c:pt idx="26">
                  <c:v>0.93617021276595747</c:v>
                </c:pt>
                <c:pt idx="27">
                  <c:v>0.94680851063829785</c:v>
                </c:pt>
                <c:pt idx="28">
                  <c:v>0.94680851063829785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'Act-Pass_svm'!$A$10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'Act-Pass_svm'!$B$10:$AD$10</c:f>
              <c:numCache>
                <c:formatCode>General</c:formatCode>
                <c:ptCount val="29"/>
                <c:pt idx="0">
                  <c:v>0.85567010309278346</c:v>
                </c:pt>
                <c:pt idx="1">
                  <c:v>0.85567010309278346</c:v>
                </c:pt>
                <c:pt idx="2">
                  <c:v>0.85567010309278346</c:v>
                </c:pt>
                <c:pt idx="3">
                  <c:v>0.85567010309278346</c:v>
                </c:pt>
                <c:pt idx="4">
                  <c:v>0.85567010309278346</c:v>
                </c:pt>
                <c:pt idx="5">
                  <c:v>0.85567010309278346</c:v>
                </c:pt>
                <c:pt idx="6">
                  <c:v>0.85567010309278346</c:v>
                </c:pt>
                <c:pt idx="7">
                  <c:v>0.85567010309278346</c:v>
                </c:pt>
                <c:pt idx="8">
                  <c:v>0.83673469387755106</c:v>
                </c:pt>
                <c:pt idx="9">
                  <c:v>0.83838383838383834</c:v>
                </c:pt>
                <c:pt idx="10">
                  <c:v>0.83673469387755106</c:v>
                </c:pt>
                <c:pt idx="11">
                  <c:v>0.84</c:v>
                </c:pt>
                <c:pt idx="12">
                  <c:v>0.85</c:v>
                </c:pt>
                <c:pt idx="13">
                  <c:v>0.8529411764705882</c:v>
                </c:pt>
                <c:pt idx="14">
                  <c:v>0.84313725490196079</c:v>
                </c:pt>
                <c:pt idx="15">
                  <c:v>0.84615384615384615</c:v>
                </c:pt>
                <c:pt idx="16">
                  <c:v>0.83809523809523812</c:v>
                </c:pt>
                <c:pt idx="17">
                  <c:v>0.83809523809523812</c:v>
                </c:pt>
                <c:pt idx="18">
                  <c:v>0.88235294117647056</c:v>
                </c:pt>
                <c:pt idx="19">
                  <c:v>0.89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0.90816326530612246</c:v>
                </c:pt>
                <c:pt idx="24">
                  <c:v>0.89898989898989901</c:v>
                </c:pt>
                <c:pt idx="25">
                  <c:v>0.89898989898989901</c:v>
                </c:pt>
                <c:pt idx="26">
                  <c:v>0.90721649484536082</c:v>
                </c:pt>
                <c:pt idx="27">
                  <c:v>0.89898989898989901</c:v>
                </c:pt>
                <c:pt idx="28">
                  <c:v>0.89898989898989901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'Act-Pass_svm'!$A$11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'Act-Pass_svm'!$B$11:$AD$11</c:f>
              <c:numCache>
                <c:formatCode>General</c:formatCode>
                <c:ptCount val="29"/>
                <c:pt idx="0">
                  <c:v>0.86910994764397909</c:v>
                </c:pt>
                <c:pt idx="1">
                  <c:v>0.86910994764397909</c:v>
                </c:pt>
                <c:pt idx="2">
                  <c:v>0.86910994764397909</c:v>
                </c:pt>
                <c:pt idx="3">
                  <c:v>0.86910994764397909</c:v>
                </c:pt>
                <c:pt idx="4">
                  <c:v>0.86910994764397909</c:v>
                </c:pt>
                <c:pt idx="5">
                  <c:v>0.86910994764397909</c:v>
                </c:pt>
                <c:pt idx="6">
                  <c:v>0.86910994764397909</c:v>
                </c:pt>
                <c:pt idx="7">
                  <c:v>0.86910994764397909</c:v>
                </c:pt>
                <c:pt idx="8">
                  <c:v>0.85416666666666674</c:v>
                </c:pt>
                <c:pt idx="9">
                  <c:v>0.86010362694300524</c:v>
                </c:pt>
                <c:pt idx="10">
                  <c:v>0.85416666666666674</c:v>
                </c:pt>
                <c:pt idx="11">
                  <c:v>0.86597938144329889</c:v>
                </c:pt>
                <c:pt idx="12">
                  <c:v>0.87628865979381432</c:v>
                </c:pt>
                <c:pt idx="13">
                  <c:v>0.88775510204081631</c:v>
                </c:pt>
                <c:pt idx="14">
                  <c:v>0.87755102040816324</c:v>
                </c:pt>
                <c:pt idx="15">
                  <c:v>0.88888888888888884</c:v>
                </c:pt>
                <c:pt idx="16">
                  <c:v>0.88442211055276376</c:v>
                </c:pt>
                <c:pt idx="17">
                  <c:v>0.88442211055276376</c:v>
                </c:pt>
                <c:pt idx="18">
                  <c:v>0.91836734693877542</c:v>
                </c:pt>
                <c:pt idx="19">
                  <c:v>0.91752577319587636</c:v>
                </c:pt>
                <c:pt idx="20">
                  <c:v>0.92783505154639179</c:v>
                </c:pt>
                <c:pt idx="21">
                  <c:v>0.92783505154639179</c:v>
                </c:pt>
                <c:pt idx="22">
                  <c:v>0.92783505154639179</c:v>
                </c:pt>
                <c:pt idx="23">
                  <c:v>0.92708333333333337</c:v>
                </c:pt>
                <c:pt idx="24">
                  <c:v>0.92227979274611382</c:v>
                </c:pt>
                <c:pt idx="25">
                  <c:v>0.92227979274611382</c:v>
                </c:pt>
                <c:pt idx="26">
                  <c:v>0.92146596858638752</c:v>
                </c:pt>
                <c:pt idx="27">
                  <c:v>0.92227979274611382</c:v>
                </c:pt>
                <c:pt idx="28">
                  <c:v>0.92227979274611382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'Act-Pass_svm'!$A$12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'Act-Pass_svm'!$B$12:$AD$12</c:f>
              <c:numCache>
                <c:formatCode>General</c:formatCode>
                <c:ptCount val="29"/>
                <c:pt idx="0">
                  <c:v>0.86792452830188682</c:v>
                </c:pt>
                <c:pt idx="1">
                  <c:v>0.86792452830188682</c:v>
                </c:pt>
                <c:pt idx="2">
                  <c:v>0.86792452830188682</c:v>
                </c:pt>
                <c:pt idx="3">
                  <c:v>0.86792452830188682</c:v>
                </c:pt>
                <c:pt idx="4">
                  <c:v>0.86792452830188682</c:v>
                </c:pt>
                <c:pt idx="5">
                  <c:v>0.86792452830188682</c:v>
                </c:pt>
                <c:pt idx="6">
                  <c:v>0.86792452830188682</c:v>
                </c:pt>
                <c:pt idx="7">
                  <c:v>0.86792452830188682</c:v>
                </c:pt>
                <c:pt idx="8">
                  <c:v>0.84905660377358494</c:v>
                </c:pt>
                <c:pt idx="9">
                  <c:v>0.84905660377358494</c:v>
                </c:pt>
                <c:pt idx="10">
                  <c:v>0.84905660377358494</c:v>
                </c:pt>
                <c:pt idx="11">
                  <c:v>0.84905660377358494</c:v>
                </c:pt>
                <c:pt idx="12">
                  <c:v>0.85849056603773588</c:v>
                </c:pt>
                <c:pt idx="13">
                  <c:v>0.85849056603773588</c:v>
                </c:pt>
                <c:pt idx="14">
                  <c:v>0.84905660377358494</c:v>
                </c:pt>
                <c:pt idx="15">
                  <c:v>0.84905660377358494</c:v>
                </c:pt>
                <c:pt idx="16">
                  <c:v>0.839622641509434</c:v>
                </c:pt>
                <c:pt idx="17">
                  <c:v>0.839622641509434</c:v>
                </c:pt>
                <c:pt idx="18">
                  <c:v>0.8867924528301887</c:v>
                </c:pt>
                <c:pt idx="19">
                  <c:v>0.89622641509433965</c:v>
                </c:pt>
                <c:pt idx="20">
                  <c:v>0.90566037735849059</c:v>
                </c:pt>
                <c:pt idx="21">
                  <c:v>0.90566037735849059</c:v>
                </c:pt>
                <c:pt idx="22">
                  <c:v>0.90566037735849059</c:v>
                </c:pt>
                <c:pt idx="23">
                  <c:v>0.91509433962264153</c:v>
                </c:pt>
                <c:pt idx="24">
                  <c:v>0.90566037735849059</c:v>
                </c:pt>
                <c:pt idx="25">
                  <c:v>0.90566037735849059</c:v>
                </c:pt>
                <c:pt idx="26">
                  <c:v>0.91509433962264153</c:v>
                </c:pt>
                <c:pt idx="27">
                  <c:v>0.90566037735849059</c:v>
                </c:pt>
                <c:pt idx="28">
                  <c:v>0.90566037735849059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'Act-Pass_svm'!$A$1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'Act-Pass_svm'!$B$1:$AD$1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83</c:v>
                      </c:pt>
                      <c:pt idx="7">
                        <c:v>83</c:v>
                      </c:pt>
                      <c:pt idx="8">
                        <c:v>82</c:v>
                      </c:pt>
                      <c:pt idx="9">
                        <c:v>83</c:v>
                      </c:pt>
                      <c:pt idx="10">
                        <c:v>82</c:v>
                      </c:pt>
                      <c:pt idx="11">
                        <c:v>84</c:v>
                      </c:pt>
                      <c:pt idx="12">
                        <c:v>85</c:v>
                      </c:pt>
                      <c:pt idx="13">
                        <c:v>87</c:v>
                      </c:pt>
                      <c:pt idx="14">
                        <c:v>86</c:v>
                      </c:pt>
                      <c:pt idx="15">
                        <c:v>88</c:v>
                      </c:pt>
                      <c:pt idx="16">
                        <c:v>88</c:v>
                      </c:pt>
                      <c:pt idx="17">
                        <c:v>88</c:v>
                      </c:pt>
                      <c:pt idx="18">
                        <c:v>90</c:v>
                      </c:pt>
                      <c:pt idx="19">
                        <c:v>89</c:v>
                      </c:pt>
                      <c:pt idx="20">
                        <c:v>90</c:v>
                      </c:pt>
                      <c:pt idx="21">
                        <c:v>90</c:v>
                      </c:pt>
                      <c:pt idx="22">
                        <c:v>90</c:v>
                      </c:pt>
                      <c:pt idx="23">
                        <c:v>89</c:v>
                      </c:pt>
                      <c:pt idx="24">
                        <c:v>89</c:v>
                      </c:pt>
                      <c:pt idx="25">
                        <c:v>89</c:v>
                      </c:pt>
                      <c:pt idx="26">
                        <c:v>88</c:v>
                      </c:pt>
                      <c:pt idx="27">
                        <c:v>89</c:v>
                      </c:pt>
                      <c:pt idx="28">
                        <c:v>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12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10</c:v>
                      </c:pt>
                      <c:pt idx="12">
                        <c:v>9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4</c:v>
                      </c:pt>
                      <c:pt idx="19">
                        <c:v>5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14</c:v>
                      </c:pt>
                      <c:pt idx="3">
                        <c:v>14</c:v>
                      </c:pt>
                      <c:pt idx="4">
                        <c:v>14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16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17</c:v>
                      </c:pt>
                      <c:pt idx="18">
                        <c:v>12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9</c:v>
                      </c:pt>
                      <c:pt idx="27">
                        <c:v>10</c:v>
                      </c:pt>
                      <c:pt idx="28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92</c:v>
                      </c:pt>
                      <c:pt idx="1">
                        <c:v>92</c:v>
                      </c:pt>
                      <c:pt idx="2">
                        <c:v>92</c:v>
                      </c:pt>
                      <c:pt idx="3">
                        <c:v>92</c:v>
                      </c:pt>
                      <c:pt idx="4">
                        <c:v>92</c:v>
                      </c:pt>
                      <c:pt idx="5">
                        <c:v>92</c:v>
                      </c:pt>
                      <c:pt idx="6">
                        <c:v>92</c:v>
                      </c:pt>
                      <c:pt idx="7">
                        <c:v>92</c:v>
                      </c:pt>
                      <c:pt idx="8">
                        <c:v>90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91</c:v>
                      </c:pt>
                      <c:pt idx="13">
                        <c:v>91</c:v>
                      </c:pt>
                      <c:pt idx="14">
                        <c:v>90</c:v>
                      </c:pt>
                      <c:pt idx="15">
                        <c:v>90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94</c:v>
                      </c:pt>
                      <c:pt idx="19">
                        <c:v>95</c:v>
                      </c:pt>
                      <c:pt idx="20">
                        <c:v>96</c:v>
                      </c:pt>
                      <c:pt idx="21">
                        <c:v>96</c:v>
                      </c:pt>
                      <c:pt idx="22">
                        <c:v>96</c:v>
                      </c:pt>
                      <c:pt idx="23">
                        <c:v>97</c:v>
                      </c:pt>
                      <c:pt idx="24">
                        <c:v>96</c:v>
                      </c:pt>
                      <c:pt idx="25">
                        <c:v>96</c:v>
                      </c:pt>
                      <c:pt idx="26">
                        <c:v>97</c:v>
                      </c:pt>
                      <c:pt idx="27">
                        <c:v>96</c:v>
                      </c:pt>
                      <c:pt idx="28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0.125</c:v>
                      </c:pt>
                      <c:pt idx="1">
                        <c:v>0.125</c:v>
                      </c:pt>
                      <c:pt idx="2">
                        <c:v>0.125</c:v>
                      </c:pt>
                      <c:pt idx="3">
                        <c:v>0.125</c:v>
                      </c:pt>
                      <c:pt idx="4">
                        <c:v>0.125</c:v>
                      </c:pt>
                      <c:pt idx="5">
                        <c:v>0.125</c:v>
                      </c:pt>
                      <c:pt idx="6">
                        <c:v>0.125</c:v>
                      </c:pt>
                      <c:pt idx="7">
                        <c:v>0.125</c:v>
                      </c:pt>
                      <c:pt idx="8">
                        <c:v>0.14000000000000001</c:v>
                      </c:pt>
                      <c:pt idx="9">
                        <c:v>0.13500000000000001</c:v>
                      </c:pt>
                      <c:pt idx="10">
                        <c:v>0.14000000000000001</c:v>
                      </c:pt>
                      <c:pt idx="11">
                        <c:v>0.13</c:v>
                      </c:pt>
                      <c:pt idx="12">
                        <c:v>0.12</c:v>
                      </c:pt>
                      <c:pt idx="13">
                        <c:v>0.10999999999999999</c:v>
                      </c:pt>
                      <c:pt idx="14">
                        <c:v>0.12</c:v>
                      </c:pt>
                      <c:pt idx="15">
                        <c:v>0.10999999999999999</c:v>
                      </c:pt>
                      <c:pt idx="16">
                        <c:v>0.11499999999999999</c:v>
                      </c:pt>
                      <c:pt idx="17">
                        <c:v>0.11499999999999999</c:v>
                      </c:pt>
                      <c:pt idx="18">
                        <c:v>7.999999999999996E-2</c:v>
                      </c:pt>
                      <c:pt idx="19">
                        <c:v>7.999999999999996E-2</c:v>
                      </c:pt>
                      <c:pt idx="20">
                        <c:v>6.9999999999999951E-2</c:v>
                      </c:pt>
                      <c:pt idx="21">
                        <c:v>6.9999999999999951E-2</c:v>
                      </c:pt>
                      <c:pt idx="22">
                        <c:v>6.9999999999999951E-2</c:v>
                      </c:pt>
                      <c:pt idx="23">
                        <c:v>6.9999999999999951E-2</c:v>
                      </c:pt>
                      <c:pt idx="24">
                        <c:v>7.4999999999999956E-2</c:v>
                      </c:pt>
                      <c:pt idx="25">
                        <c:v>7.4999999999999956E-2</c:v>
                      </c:pt>
                      <c:pt idx="26">
                        <c:v>7.4999999999999956E-2</c:v>
                      </c:pt>
                      <c:pt idx="27">
                        <c:v>7.4999999999999956E-2</c:v>
                      </c:pt>
                      <c:pt idx="28">
                        <c:v>7.4999999999999956E-2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'Act-Pass_svm'!$B$13:$AD$13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8"/>
          <c:min val="0.7100000000000000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'Act-Fail_svm'!$A$7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'Act-Fail_svm'!$B$7:$AD$7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0.83</c:v>
                </c:pt>
                <c:pt idx="7">
                  <c:v>0.83</c:v>
                </c:pt>
                <c:pt idx="8">
                  <c:v>0.82</c:v>
                </c:pt>
                <c:pt idx="9">
                  <c:v>0.82</c:v>
                </c:pt>
                <c:pt idx="10">
                  <c:v>0.82</c:v>
                </c:pt>
                <c:pt idx="11">
                  <c:v>0.82499999999999996</c:v>
                </c:pt>
                <c:pt idx="12">
                  <c:v>0.82</c:v>
                </c:pt>
                <c:pt idx="13">
                  <c:v>0.82</c:v>
                </c:pt>
                <c:pt idx="14">
                  <c:v>0.82</c:v>
                </c:pt>
                <c:pt idx="15">
                  <c:v>0.82</c:v>
                </c:pt>
                <c:pt idx="16">
                  <c:v>0.81499999999999995</c:v>
                </c:pt>
                <c:pt idx="17">
                  <c:v>0.81499999999999995</c:v>
                </c:pt>
                <c:pt idx="18">
                  <c:v>0.83</c:v>
                </c:pt>
                <c:pt idx="19">
                  <c:v>0.82499999999999996</c:v>
                </c:pt>
                <c:pt idx="20">
                  <c:v>0.83</c:v>
                </c:pt>
                <c:pt idx="21">
                  <c:v>0.83</c:v>
                </c:pt>
                <c:pt idx="22">
                  <c:v>0.83499999999999996</c:v>
                </c:pt>
                <c:pt idx="23">
                  <c:v>0.83</c:v>
                </c:pt>
                <c:pt idx="24">
                  <c:v>0.83</c:v>
                </c:pt>
                <c:pt idx="25">
                  <c:v>0.83</c:v>
                </c:pt>
                <c:pt idx="26">
                  <c:v>0.82499999999999996</c:v>
                </c:pt>
                <c:pt idx="27">
                  <c:v>0.83</c:v>
                </c:pt>
                <c:pt idx="28">
                  <c:v>0.82499999999999996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'Act-Fail_svm'!$A$9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'Act-Fail_svm'!$B$9:$AD$9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2.9411764705882353E-2</c:v>
                </c:pt>
                <c:pt idx="19">
                  <c:v>2.9411764705882353E-2</c:v>
                </c:pt>
                <c:pt idx="20">
                  <c:v>5.8823529411764705E-2</c:v>
                </c:pt>
                <c:pt idx="21">
                  <c:v>5.8823529411764705E-2</c:v>
                </c:pt>
                <c:pt idx="22">
                  <c:v>5.8823529411764705E-2</c:v>
                </c:pt>
                <c:pt idx="23">
                  <c:v>5.8823529411764705E-2</c:v>
                </c:pt>
                <c:pt idx="24">
                  <c:v>5.8823529411764705E-2</c:v>
                </c:pt>
                <c:pt idx="25">
                  <c:v>5.8823529411764705E-2</c:v>
                </c:pt>
                <c:pt idx="26">
                  <c:v>5.8823529411764705E-2</c:v>
                </c:pt>
                <c:pt idx="27">
                  <c:v>5.8823529411764705E-2</c:v>
                </c:pt>
                <c:pt idx="28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'Act-Fail_svm'!$A$10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'Act-Fail_svm'!$B$10:$AD$10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</c:v>
                </c:pt>
                <c:pt idx="19">
                  <c:v>0.33333333333333331</c:v>
                </c:pt>
                <c:pt idx="20">
                  <c:v>0.5</c:v>
                </c:pt>
                <c:pt idx="21">
                  <c:v>0.5</c:v>
                </c:pt>
                <c:pt idx="22">
                  <c:v>0.66666666666666663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0.4</c:v>
                </c:pt>
                <c:pt idx="27">
                  <c:v>0.5</c:v>
                </c:pt>
                <c:pt idx="2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'Act-Fail_svm'!$A$11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'Act-Fail_svm'!$B$11:$AD$11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5.5555555555555552E-2</c:v>
                </c:pt>
                <c:pt idx="19">
                  <c:v>5.4054054054054057E-2</c:v>
                </c:pt>
                <c:pt idx="20">
                  <c:v>0.10526315789473684</c:v>
                </c:pt>
                <c:pt idx="21">
                  <c:v>0.10526315789473684</c:v>
                </c:pt>
                <c:pt idx="22">
                  <c:v>0.10810810810810811</c:v>
                </c:pt>
                <c:pt idx="23">
                  <c:v>0.10526315789473684</c:v>
                </c:pt>
                <c:pt idx="24">
                  <c:v>0.10526315789473684</c:v>
                </c:pt>
                <c:pt idx="25">
                  <c:v>0.10526315789473684</c:v>
                </c:pt>
                <c:pt idx="26">
                  <c:v>0.10256410256410256</c:v>
                </c:pt>
                <c:pt idx="27">
                  <c:v>0.10526315789473684</c:v>
                </c:pt>
                <c:pt idx="28">
                  <c:v>0.10256410256410256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'Act-Fail_svm'!$A$12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'Act-Fail_svm'!$B$12:$AD$12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0.98795180722891562</c:v>
                </c:pt>
                <c:pt idx="9">
                  <c:v>0.98795180722891562</c:v>
                </c:pt>
                <c:pt idx="10">
                  <c:v>0.98795180722891562</c:v>
                </c:pt>
                <c:pt idx="11">
                  <c:v>0.99397590361445787</c:v>
                </c:pt>
                <c:pt idx="12">
                  <c:v>0.98795180722891562</c:v>
                </c:pt>
                <c:pt idx="13">
                  <c:v>0.98795180722891562</c:v>
                </c:pt>
                <c:pt idx="14">
                  <c:v>0.98795180722891562</c:v>
                </c:pt>
                <c:pt idx="15">
                  <c:v>0.98795180722891562</c:v>
                </c:pt>
                <c:pt idx="16">
                  <c:v>0.98192771084337349</c:v>
                </c:pt>
                <c:pt idx="17">
                  <c:v>0.98192771084337349</c:v>
                </c:pt>
                <c:pt idx="18">
                  <c:v>0.99397590361445787</c:v>
                </c:pt>
                <c:pt idx="19">
                  <c:v>0.98795180722891562</c:v>
                </c:pt>
                <c:pt idx="20">
                  <c:v>0.98795180722891562</c:v>
                </c:pt>
                <c:pt idx="21">
                  <c:v>0.98795180722891562</c:v>
                </c:pt>
                <c:pt idx="22">
                  <c:v>0.99397590361445787</c:v>
                </c:pt>
                <c:pt idx="23">
                  <c:v>0.98795180722891562</c:v>
                </c:pt>
                <c:pt idx="24">
                  <c:v>0.98795180722891562</c:v>
                </c:pt>
                <c:pt idx="25">
                  <c:v>0.98795180722891562</c:v>
                </c:pt>
                <c:pt idx="26">
                  <c:v>0.98192771084337349</c:v>
                </c:pt>
                <c:pt idx="27">
                  <c:v>0.98795180722891562</c:v>
                </c:pt>
                <c:pt idx="28">
                  <c:v>0.98192771084337349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'Act-Fail_svm'!$A$1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'Act-Fail_svm'!$B$1:$AD$1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34</c:v>
                      </c:pt>
                      <c:pt idx="8">
                        <c:v>34</c:v>
                      </c:pt>
                      <c:pt idx="9">
                        <c:v>34</c:v>
                      </c:pt>
                      <c:pt idx="10">
                        <c:v>34</c:v>
                      </c:pt>
                      <c:pt idx="11">
                        <c:v>34</c:v>
                      </c:pt>
                      <c:pt idx="12">
                        <c:v>34</c:v>
                      </c:pt>
                      <c:pt idx="13">
                        <c:v>34</c:v>
                      </c:pt>
                      <c:pt idx="14">
                        <c:v>34</c:v>
                      </c:pt>
                      <c:pt idx="15">
                        <c:v>34</c:v>
                      </c:pt>
                      <c:pt idx="16">
                        <c:v>34</c:v>
                      </c:pt>
                      <c:pt idx="17">
                        <c:v>34</c:v>
                      </c:pt>
                      <c:pt idx="18">
                        <c:v>33</c:v>
                      </c:pt>
                      <c:pt idx="19">
                        <c:v>33</c:v>
                      </c:pt>
                      <c:pt idx="20">
                        <c:v>32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32</c:v>
                      </c:pt>
                      <c:pt idx="26">
                        <c:v>32</c:v>
                      </c:pt>
                      <c:pt idx="27">
                        <c:v>32</c:v>
                      </c:pt>
                      <c:pt idx="28">
                        <c:v>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166</c:v>
                      </c:pt>
                      <c:pt idx="7">
                        <c:v>166</c:v>
                      </c:pt>
                      <c:pt idx="8">
                        <c:v>164</c:v>
                      </c:pt>
                      <c:pt idx="9">
                        <c:v>164</c:v>
                      </c:pt>
                      <c:pt idx="10">
                        <c:v>164</c:v>
                      </c:pt>
                      <c:pt idx="11">
                        <c:v>165</c:v>
                      </c:pt>
                      <c:pt idx="12">
                        <c:v>164</c:v>
                      </c:pt>
                      <c:pt idx="13">
                        <c:v>164</c:v>
                      </c:pt>
                      <c:pt idx="14">
                        <c:v>164</c:v>
                      </c:pt>
                      <c:pt idx="15">
                        <c:v>164</c:v>
                      </c:pt>
                      <c:pt idx="16">
                        <c:v>163</c:v>
                      </c:pt>
                      <c:pt idx="17">
                        <c:v>163</c:v>
                      </c:pt>
                      <c:pt idx="18">
                        <c:v>165</c:v>
                      </c:pt>
                      <c:pt idx="19">
                        <c:v>164</c:v>
                      </c:pt>
                      <c:pt idx="20">
                        <c:v>164</c:v>
                      </c:pt>
                      <c:pt idx="21">
                        <c:v>164</c:v>
                      </c:pt>
                      <c:pt idx="22">
                        <c:v>165</c:v>
                      </c:pt>
                      <c:pt idx="23">
                        <c:v>164</c:v>
                      </c:pt>
                      <c:pt idx="24">
                        <c:v>164</c:v>
                      </c:pt>
                      <c:pt idx="25">
                        <c:v>164</c:v>
                      </c:pt>
                      <c:pt idx="26">
                        <c:v>163</c:v>
                      </c:pt>
                      <c:pt idx="27">
                        <c:v>164</c:v>
                      </c:pt>
                      <c:pt idx="28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0.17000000000000004</c:v>
                      </c:pt>
                      <c:pt idx="5">
                        <c:v>0.17000000000000004</c:v>
                      </c:pt>
                      <c:pt idx="6">
                        <c:v>0.17000000000000004</c:v>
                      </c:pt>
                      <c:pt idx="7">
                        <c:v>0.17000000000000004</c:v>
                      </c:pt>
                      <c:pt idx="8">
                        <c:v>0.18000000000000005</c:v>
                      </c:pt>
                      <c:pt idx="9">
                        <c:v>0.18000000000000005</c:v>
                      </c:pt>
                      <c:pt idx="10">
                        <c:v>0.18000000000000005</c:v>
                      </c:pt>
                      <c:pt idx="11">
                        <c:v>0.17500000000000004</c:v>
                      </c:pt>
                      <c:pt idx="12">
                        <c:v>0.18000000000000005</c:v>
                      </c:pt>
                      <c:pt idx="13">
                        <c:v>0.18000000000000005</c:v>
                      </c:pt>
                      <c:pt idx="14">
                        <c:v>0.18000000000000005</c:v>
                      </c:pt>
                      <c:pt idx="15">
                        <c:v>0.18000000000000005</c:v>
                      </c:pt>
                      <c:pt idx="16">
                        <c:v>0.18500000000000005</c:v>
                      </c:pt>
                      <c:pt idx="17">
                        <c:v>0.18500000000000005</c:v>
                      </c:pt>
                      <c:pt idx="18">
                        <c:v>0.17000000000000004</c:v>
                      </c:pt>
                      <c:pt idx="19">
                        <c:v>0.17500000000000004</c:v>
                      </c:pt>
                      <c:pt idx="20">
                        <c:v>0.17000000000000004</c:v>
                      </c:pt>
                      <c:pt idx="21">
                        <c:v>0.17000000000000004</c:v>
                      </c:pt>
                      <c:pt idx="22">
                        <c:v>0.16500000000000004</c:v>
                      </c:pt>
                      <c:pt idx="23">
                        <c:v>0.17000000000000004</c:v>
                      </c:pt>
                      <c:pt idx="24">
                        <c:v>0.17000000000000004</c:v>
                      </c:pt>
                      <c:pt idx="25">
                        <c:v>0.17000000000000004</c:v>
                      </c:pt>
                      <c:pt idx="26">
                        <c:v>0.17500000000000004</c:v>
                      </c:pt>
                      <c:pt idx="27">
                        <c:v>0.17000000000000004</c:v>
                      </c:pt>
                      <c:pt idx="28">
                        <c:v>0.17500000000000004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'Act-Dropout_svm'!$A$7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'Act-Dropout_svm'!$B$7:$AD$7</c:f>
              <c:numCache>
                <c:formatCode>General</c:formatCode>
                <c:ptCount val="29"/>
                <c:pt idx="0">
                  <c:v>0.80500000000000005</c:v>
                </c:pt>
                <c:pt idx="1">
                  <c:v>0.80500000000000005</c:v>
                </c:pt>
                <c:pt idx="2">
                  <c:v>0.80500000000000005</c:v>
                </c:pt>
                <c:pt idx="3">
                  <c:v>0.80500000000000005</c:v>
                </c:pt>
                <c:pt idx="4">
                  <c:v>0.80500000000000005</c:v>
                </c:pt>
                <c:pt idx="5">
                  <c:v>0.80500000000000005</c:v>
                </c:pt>
                <c:pt idx="6">
                  <c:v>0.80500000000000005</c:v>
                </c:pt>
                <c:pt idx="7">
                  <c:v>0.80500000000000005</c:v>
                </c:pt>
                <c:pt idx="8">
                  <c:v>0.81</c:v>
                </c:pt>
                <c:pt idx="9">
                  <c:v>0.81499999999999995</c:v>
                </c:pt>
                <c:pt idx="10">
                  <c:v>0.81</c:v>
                </c:pt>
                <c:pt idx="11">
                  <c:v>0.81499999999999995</c:v>
                </c:pt>
                <c:pt idx="12">
                  <c:v>0.83</c:v>
                </c:pt>
                <c:pt idx="13">
                  <c:v>0.84</c:v>
                </c:pt>
                <c:pt idx="14">
                  <c:v>0.84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0.86</c:v>
                </c:pt>
                <c:pt idx="19">
                  <c:v>0.85499999999999998</c:v>
                </c:pt>
                <c:pt idx="20">
                  <c:v>0.87</c:v>
                </c:pt>
                <c:pt idx="21">
                  <c:v>0.87</c:v>
                </c:pt>
                <c:pt idx="22">
                  <c:v>0.86499999999999999</c:v>
                </c:pt>
                <c:pt idx="23">
                  <c:v>0.86</c:v>
                </c:pt>
                <c:pt idx="24">
                  <c:v>0.86499999999999999</c:v>
                </c:pt>
                <c:pt idx="25">
                  <c:v>0.86499999999999999</c:v>
                </c:pt>
                <c:pt idx="26">
                  <c:v>0.86</c:v>
                </c:pt>
                <c:pt idx="27">
                  <c:v>0.86499999999999999</c:v>
                </c:pt>
                <c:pt idx="28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'Act-Dropout_svm'!$A$9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'Act-Dropout_svm'!$B$9:$AD$9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0.94444444444444442</c:v>
                </c:pt>
                <c:pt idx="3">
                  <c:v>0.94444444444444442</c:v>
                </c:pt>
                <c:pt idx="4">
                  <c:v>0.94444444444444442</c:v>
                </c:pt>
                <c:pt idx="5">
                  <c:v>0.94444444444444442</c:v>
                </c:pt>
                <c:pt idx="6">
                  <c:v>0.94444444444444442</c:v>
                </c:pt>
                <c:pt idx="7">
                  <c:v>0.94444444444444442</c:v>
                </c:pt>
                <c:pt idx="8">
                  <c:v>0.93055555555555558</c:v>
                </c:pt>
                <c:pt idx="9">
                  <c:v>0.93055555555555558</c:v>
                </c:pt>
                <c:pt idx="10">
                  <c:v>0.93055555555555558</c:v>
                </c:pt>
                <c:pt idx="11">
                  <c:v>0.93055555555555558</c:v>
                </c:pt>
                <c:pt idx="12">
                  <c:v>0.94444444444444442</c:v>
                </c:pt>
                <c:pt idx="13">
                  <c:v>0.94444444444444442</c:v>
                </c:pt>
                <c:pt idx="14">
                  <c:v>0.94444444444444442</c:v>
                </c:pt>
                <c:pt idx="15">
                  <c:v>0.94444444444444442</c:v>
                </c:pt>
                <c:pt idx="16">
                  <c:v>0.93055555555555558</c:v>
                </c:pt>
                <c:pt idx="17">
                  <c:v>0.93055555555555558</c:v>
                </c:pt>
                <c:pt idx="18">
                  <c:v>0.97222222222222221</c:v>
                </c:pt>
                <c:pt idx="19">
                  <c:v>0.97222222222222221</c:v>
                </c:pt>
                <c:pt idx="20">
                  <c:v>0.98611111111111116</c:v>
                </c:pt>
                <c:pt idx="21">
                  <c:v>0.98611111111111116</c:v>
                </c:pt>
                <c:pt idx="22">
                  <c:v>0.98611111111111116</c:v>
                </c:pt>
                <c:pt idx="23">
                  <c:v>0.98611111111111116</c:v>
                </c:pt>
                <c:pt idx="24">
                  <c:v>0.98611111111111116</c:v>
                </c:pt>
                <c:pt idx="25">
                  <c:v>0.98611111111111116</c:v>
                </c:pt>
                <c:pt idx="26">
                  <c:v>0.98611111111111116</c:v>
                </c:pt>
                <c:pt idx="27">
                  <c:v>0.98611111111111116</c:v>
                </c:pt>
                <c:pt idx="28">
                  <c:v>0.98611111111111116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'Act-Dropout_svm'!$A$10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'Act-Dropout_svm'!$B$10:$AD$10</c:f>
              <c:numCache>
                <c:formatCode>General</c:formatCode>
                <c:ptCount val="29"/>
                <c:pt idx="0">
                  <c:v>0.66019417475728159</c:v>
                </c:pt>
                <c:pt idx="1">
                  <c:v>0.66019417475728159</c:v>
                </c:pt>
                <c:pt idx="2">
                  <c:v>0.66019417475728159</c:v>
                </c:pt>
                <c:pt idx="3">
                  <c:v>0.66019417475728159</c:v>
                </c:pt>
                <c:pt idx="4">
                  <c:v>0.66019417475728159</c:v>
                </c:pt>
                <c:pt idx="5">
                  <c:v>0.66019417475728159</c:v>
                </c:pt>
                <c:pt idx="6">
                  <c:v>0.66019417475728159</c:v>
                </c:pt>
                <c:pt idx="7">
                  <c:v>0.66019417475728159</c:v>
                </c:pt>
                <c:pt idx="8">
                  <c:v>0.67</c:v>
                </c:pt>
                <c:pt idx="9">
                  <c:v>0.6767676767676768</c:v>
                </c:pt>
                <c:pt idx="10">
                  <c:v>0.67</c:v>
                </c:pt>
                <c:pt idx="11">
                  <c:v>0.6767676767676768</c:v>
                </c:pt>
                <c:pt idx="12">
                  <c:v>0.69387755102040816</c:v>
                </c:pt>
                <c:pt idx="13">
                  <c:v>0.70833333333333337</c:v>
                </c:pt>
                <c:pt idx="14">
                  <c:v>0.70833333333333337</c:v>
                </c:pt>
                <c:pt idx="15">
                  <c:v>0.72340425531914898</c:v>
                </c:pt>
                <c:pt idx="16">
                  <c:v>0.72826086956521741</c:v>
                </c:pt>
                <c:pt idx="17">
                  <c:v>0.72826086956521741</c:v>
                </c:pt>
                <c:pt idx="18">
                  <c:v>0.72916666666666663</c:v>
                </c:pt>
                <c:pt idx="19">
                  <c:v>0.72164948453608246</c:v>
                </c:pt>
                <c:pt idx="20">
                  <c:v>0.73958333333333337</c:v>
                </c:pt>
                <c:pt idx="21">
                  <c:v>0.73958333333333337</c:v>
                </c:pt>
                <c:pt idx="22">
                  <c:v>0.73195876288659789</c:v>
                </c:pt>
                <c:pt idx="23">
                  <c:v>0.72448979591836737</c:v>
                </c:pt>
                <c:pt idx="24">
                  <c:v>0.73195876288659789</c:v>
                </c:pt>
                <c:pt idx="25">
                  <c:v>0.73195876288659789</c:v>
                </c:pt>
                <c:pt idx="26">
                  <c:v>0.72448979591836737</c:v>
                </c:pt>
                <c:pt idx="27">
                  <c:v>0.73195876288659789</c:v>
                </c:pt>
                <c:pt idx="28">
                  <c:v>0.73958333333333337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'Act-Dropout_svm'!$A$11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'Act-Dropout_svm'!$B$11:$AD$11</c:f>
              <c:numCache>
                <c:formatCode>General</c:formatCode>
                <c:ptCount val="29"/>
                <c:pt idx="0">
                  <c:v>0.77714285714285714</c:v>
                </c:pt>
                <c:pt idx="1">
                  <c:v>0.77714285714285714</c:v>
                </c:pt>
                <c:pt idx="2">
                  <c:v>0.77714285714285714</c:v>
                </c:pt>
                <c:pt idx="3">
                  <c:v>0.77714285714285714</c:v>
                </c:pt>
                <c:pt idx="4">
                  <c:v>0.77714285714285714</c:v>
                </c:pt>
                <c:pt idx="5">
                  <c:v>0.77714285714285714</c:v>
                </c:pt>
                <c:pt idx="6">
                  <c:v>0.77714285714285714</c:v>
                </c:pt>
                <c:pt idx="7">
                  <c:v>0.77714285714285714</c:v>
                </c:pt>
                <c:pt idx="8">
                  <c:v>0.77906976744186052</c:v>
                </c:pt>
                <c:pt idx="9">
                  <c:v>0.78362573099415211</c:v>
                </c:pt>
                <c:pt idx="10">
                  <c:v>0.77906976744186052</c:v>
                </c:pt>
                <c:pt idx="11">
                  <c:v>0.78362573099415211</c:v>
                </c:pt>
                <c:pt idx="12">
                  <c:v>0.79999999999999993</c:v>
                </c:pt>
                <c:pt idx="13">
                  <c:v>0.80952380952380965</c:v>
                </c:pt>
                <c:pt idx="14">
                  <c:v>0.80952380952380965</c:v>
                </c:pt>
                <c:pt idx="15">
                  <c:v>0.81927710843373491</c:v>
                </c:pt>
                <c:pt idx="16">
                  <c:v>0.81707317073170727</c:v>
                </c:pt>
                <c:pt idx="17">
                  <c:v>0.81707317073170727</c:v>
                </c:pt>
                <c:pt idx="18">
                  <c:v>0.83333333333333326</c:v>
                </c:pt>
                <c:pt idx="19">
                  <c:v>0.82840236686390523</c:v>
                </c:pt>
                <c:pt idx="20">
                  <c:v>0.84523809523809523</c:v>
                </c:pt>
                <c:pt idx="21">
                  <c:v>0.84523809523809523</c:v>
                </c:pt>
                <c:pt idx="22">
                  <c:v>0.84023668639053251</c:v>
                </c:pt>
                <c:pt idx="23">
                  <c:v>0.83529411764705885</c:v>
                </c:pt>
                <c:pt idx="24">
                  <c:v>0.84023668639053251</c:v>
                </c:pt>
                <c:pt idx="25">
                  <c:v>0.84023668639053251</c:v>
                </c:pt>
                <c:pt idx="26">
                  <c:v>0.83529411764705885</c:v>
                </c:pt>
                <c:pt idx="27">
                  <c:v>0.84023668639053251</c:v>
                </c:pt>
                <c:pt idx="28">
                  <c:v>0.84523809523809523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'Act-Dropout_svm'!$A$12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'Act-Dropout_svm'!$B$12:$AD$12</c:f>
              <c:numCache>
                <c:formatCode>General</c:formatCode>
                <c:ptCount val="29"/>
                <c:pt idx="0">
                  <c:v>0.7265625</c:v>
                </c:pt>
                <c:pt idx="1">
                  <c:v>0.7265625</c:v>
                </c:pt>
                <c:pt idx="2">
                  <c:v>0.7265625</c:v>
                </c:pt>
                <c:pt idx="3">
                  <c:v>0.7265625</c:v>
                </c:pt>
                <c:pt idx="4">
                  <c:v>0.7265625</c:v>
                </c:pt>
                <c:pt idx="5">
                  <c:v>0.7265625</c:v>
                </c:pt>
                <c:pt idx="6">
                  <c:v>0.7265625</c:v>
                </c:pt>
                <c:pt idx="7">
                  <c:v>0.7265625</c:v>
                </c:pt>
                <c:pt idx="8">
                  <c:v>0.7421875</c:v>
                </c:pt>
                <c:pt idx="9">
                  <c:v>0.75</c:v>
                </c:pt>
                <c:pt idx="10">
                  <c:v>0.7421875</c:v>
                </c:pt>
                <c:pt idx="11">
                  <c:v>0.75</c:v>
                </c:pt>
                <c:pt idx="12">
                  <c:v>0.765625</c:v>
                </c:pt>
                <c:pt idx="13">
                  <c:v>0.78125</c:v>
                </c:pt>
                <c:pt idx="14">
                  <c:v>0.78125</c:v>
                </c:pt>
                <c:pt idx="15">
                  <c:v>0.796875</c:v>
                </c:pt>
                <c:pt idx="16">
                  <c:v>0.8046875</c:v>
                </c:pt>
                <c:pt idx="17">
                  <c:v>0.8046875</c:v>
                </c:pt>
                <c:pt idx="18">
                  <c:v>0.796875</c:v>
                </c:pt>
                <c:pt idx="19">
                  <c:v>0.7890625</c:v>
                </c:pt>
                <c:pt idx="20">
                  <c:v>0.8046875</c:v>
                </c:pt>
                <c:pt idx="21">
                  <c:v>0.8046875</c:v>
                </c:pt>
                <c:pt idx="22">
                  <c:v>0.796875</c:v>
                </c:pt>
                <c:pt idx="23">
                  <c:v>0.7890625</c:v>
                </c:pt>
                <c:pt idx="24">
                  <c:v>0.796875</c:v>
                </c:pt>
                <c:pt idx="25">
                  <c:v>0.796875</c:v>
                </c:pt>
                <c:pt idx="26">
                  <c:v>0.7890625</c:v>
                </c:pt>
                <c:pt idx="27">
                  <c:v>0.796875</c:v>
                </c:pt>
                <c:pt idx="28">
                  <c:v>0.8046875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'Act-Dropout_svm'!$A$1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'Act-Dropout_svm'!$B$1:$AD$1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68</c:v>
                      </c:pt>
                      <c:pt idx="3">
                        <c:v>68</c:v>
                      </c:pt>
                      <c:pt idx="4">
                        <c:v>68</c:v>
                      </c:pt>
                      <c:pt idx="5">
                        <c:v>68</c:v>
                      </c:pt>
                      <c:pt idx="6">
                        <c:v>68</c:v>
                      </c:pt>
                      <c:pt idx="7">
                        <c:v>68</c:v>
                      </c:pt>
                      <c:pt idx="8">
                        <c:v>67</c:v>
                      </c:pt>
                      <c:pt idx="9">
                        <c:v>67</c:v>
                      </c:pt>
                      <c:pt idx="10">
                        <c:v>67</c:v>
                      </c:pt>
                      <c:pt idx="11">
                        <c:v>67</c:v>
                      </c:pt>
                      <c:pt idx="12">
                        <c:v>68</c:v>
                      </c:pt>
                      <c:pt idx="13">
                        <c:v>68</c:v>
                      </c:pt>
                      <c:pt idx="14">
                        <c:v>68</c:v>
                      </c:pt>
                      <c:pt idx="15">
                        <c:v>68</c:v>
                      </c:pt>
                      <c:pt idx="16">
                        <c:v>67</c:v>
                      </c:pt>
                      <c:pt idx="17">
                        <c:v>67</c:v>
                      </c:pt>
                      <c:pt idx="18">
                        <c:v>70</c:v>
                      </c:pt>
                      <c:pt idx="19">
                        <c:v>70</c:v>
                      </c:pt>
                      <c:pt idx="20">
                        <c:v>71</c:v>
                      </c:pt>
                      <c:pt idx="21">
                        <c:v>71</c:v>
                      </c:pt>
                      <c:pt idx="22">
                        <c:v>71</c:v>
                      </c:pt>
                      <c:pt idx="23">
                        <c:v>71</c:v>
                      </c:pt>
                      <c:pt idx="24">
                        <c:v>71</c:v>
                      </c:pt>
                      <c:pt idx="25">
                        <c:v>71</c:v>
                      </c:pt>
                      <c:pt idx="26">
                        <c:v>71</c:v>
                      </c:pt>
                      <c:pt idx="27">
                        <c:v>71</c:v>
                      </c:pt>
                      <c:pt idx="28">
                        <c:v>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35</c:v>
                      </c:pt>
                      <c:pt idx="2">
                        <c:v>35</c:v>
                      </c:pt>
                      <c:pt idx="3">
                        <c:v>35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35</c:v>
                      </c:pt>
                      <c:pt idx="7">
                        <c:v>35</c:v>
                      </c:pt>
                      <c:pt idx="8">
                        <c:v>33</c:v>
                      </c:pt>
                      <c:pt idx="9">
                        <c:v>32</c:v>
                      </c:pt>
                      <c:pt idx="10">
                        <c:v>33</c:v>
                      </c:pt>
                      <c:pt idx="11">
                        <c:v>32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28</c:v>
                      </c:pt>
                      <c:pt idx="15">
                        <c:v>26</c:v>
                      </c:pt>
                      <c:pt idx="16">
                        <c:v>25</c:v>
                      </c:pt>
                      <c:pt idx="17">
                        <c:v>25</c:v>
                      </c:pt>
                      <c:pt idx="18">
                        <c:v>26</c:v>
                      </c:pt>
                      <c:pt idx="19">
                        <c:v>27</c:v>
                      </c:pt>
                      <c:pt idx="20">
                        <c:v>25</c:v>
                      </c:pt>
                      <c:pt idx="21">
                        <c:v>25</c:v>
                      </c:pt>
                      <c:pt idx="22">
                        <c:v>26</c:v>
                      </c:pt>
                      <c:pt idx="23">
                        <c:v>27</c:v>
                      </c:pt>
                      <c:pt idx="24">
                        <c:v>26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26</c:v>
                      </c:pt>
                      <c:pt idx="28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93</c:v>
                      </c:pt>
                      <c:pt idx="1">
                        <c:v>93</c:v>
                      </c:pt>
                      <c:pt idx="2">
                        <c:v>93</c:v>
                      </c:pt>
                      <c:pt idx="3">
                        <c:v>93</c:v>
                      </c:pt>
                      <c:pt idx="4">
                        <c:v>93</c:v>
                      </c:pt>
                      <c:pt idx="5">
                        <c:v>93</c:v>
                      </c:pt>
                      <c:pt idx="6">
                        <c:v>93</c:v>
                      </c:pt>
                      <c:pt idx="7">
                        <c:v>93</c:v>
                      </c:pt>
                      <c:pt idx="8">
                        <c:v>95</c:v>
                      </c:pt>
                      <c:pt idx="9">
                        <c:v>96</c:v>
                      </c:pt>
                      <c:pt idx="10">
                        <c:v>95</c:v>
                      </c:pt>
                      <c:pt idx="11">
                        <c:v>96</c:v>
                      </c:pt>
                      <c:pt idx="12">
                        <c:v>98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102</c:v>
                      </c:pt>
                      <c:pt idx="16">
                        <c:v>103</c:v>
                      </c:pt>
                      <c:pt idx="17">
                        <c:v>103</c:v>
                      </c:pt>
                      <c:pt idx="18">
                        <c:v>102</c:v>
                      </c:pt>
                      <c:pt idx="19">
                        <c:v>101</c:v>
                      </c:pt>
                      <c:pt idx="20">
                        <c:v>103</c:v>
                      </c:pt>
                      <c:pt idx="21">
                        <c:v>103</c:v>
                      </c:pt>
                      <c:pt idx="22">
                        <c:v>102</c:v>
                      </c:pt>
                      <c:pt idx="23">
                        <c:v>101</c:v>
                      </c:pt>
                      <c:pt idx="24">
                        <c:v>102</c:v>
                      </c:pt>
                      <c:pt idx="25">
                        <c:v>102</c:v>
                      </c:pt>
                      <c:pt idx="26">
                        <c:v>101</c:v>
                      </c:pt>
                      <c:pt idx="27">
                        <c:v>102</c:v>
                      </c:pt>
                      <c:pt idx="28">
                        <c:v>103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0.19499999999999995</c:v>
                      </c:pt>
                      <c:pt idx="1">
                        <c:v>0.19499999999999995</c:v>
                      </c:pt>
                      <c:pt idx="2">
                        <c:v>0.19499999999999995</c:v>
                      </c:pt>
                      <c:pt idx="3">
                        <c:v>0.19499999999999995</c:v>
                      </c:pt>
                      <c:pt idx="4">
                        <c:v>0.19499999999999995</c:v>
                      </c:pt>
                      <c:pt idx="5">
                        <c:v>0.19499999999999995</c:v>
                      </c:pt>
                      <c:pt idx="6">
                        <c:v>0.19499999999999995</c:v>
                      </c:pt>
                      <c:pt idx="7">
                        <c:v>0.19499999999999995</c:v>
                      </c:pt>
                      <c:pt idx="8">
                        <c:v>0.18999999999999995</c:v>
                      </c:pt>
                      <c:pt idx="9">
                        <c:v>0.18500000000000005</c:v>
                      </c:pt>
                      <c:pt idx="10">
                        <c:v>0.18999999999999995</c:v>
                      </c:pt>
                      <c:pt idx="11">
                        <c:v>0.18500000000000005</c:v>
                      </c:pt>
                      <c:pt idx="12">
                        <c:v>0.17000000000000004</c:v>
                      </c:pt>
                      <c:pt idx="13">
                        <c:v>0.16000000000000003</c:v>
                      </c:pt>
                      <c:pt idx="14">
                        <c:v>0.16000000000000003</c:v>
                      </c:pt>
                      <c:pt idx="15">
                        <c:v>0.15000000000000002</c:v>
                      </c:pt>
                      <c:pt idx="16">
                        <c:v>0.15000000000000002</c:v>
                      </c:pt>
                      <c:pt idx="17">
                        <c:v>0.15000000000000002</c:v>
                      </c:pt>
                      <c:pt idx="18">
                        <c:v>0.14000000000000001</c:v>
                      </c:pt>
                      <c:pt idx="19">
                        <c:v>0.14500000000000002</c:v>
                      </c:pt>
                      <c:pt idx="20">
                        <c:v>0.13</c:v>
                      </c:pt>
                      <c:pt idx="21">
                        <c:v>0.13</c:v>
                      </c:pt>
                      <c:pt idx="22">
                        <c:v>0.13500000000000001</c:v>
                      </c:pt>
                      <c:pt idx="23">
                        <c:v>0.14000000000000001</c:v>
                      </c:pt>
                      <c:pt idx="24">
                        <c:v>0.13500000000000001</c:v>
                      </c:pt>
                      <c:pt idx="25">
                        <c:v>0.13500000000000001</c:v>
                      </c:pt>
                      <c:pt idx="26">
                        <c:v>0.14000000000000001</c:v>
                      </c:pt>
                      <c:pt idx="27">
                        <c:v>0.13500000000000001</c:v>
                      </c:pt>
                      <c:pt idx="28">
                        <c:v>0.13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0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Normal="100" workbookViewId="0">
      <selection activeCell="AG15" sqref="AG15"/>
    </sheetView>
  </sheetViews>
  <sheetFormatPr baseColWidth="10" defaultRowHeight="15" x14ac:dyDescent="0.25"/>
  <cols>
    <col min="1" max="1" width="22.42578125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83</v>
      </c>
      <c r="C2" s="1">
        <v>83</v>
      </c>
      <c r="D2" s="1">
        <v>83</v>
      </c>
      <c r="E2" s="1">
        <v>83</v>
      </c>
      <c r="F2" s="1">
        <v>83</v>
      </c>
      <c r="G2" s="1">
        <v>83</v>
      </c>
      <c r="H2" s="1">
        <v>83</v>
      </c>
      <c r="I2" s="1">
        <v>83</v>
      </c>
      <c r="J2" s="1">
        <v>82</v>
      </c>
      <c r="K2" s="1">
        <v>83</v>
      </c>
      <c r="L2" s="1">
        <v>82</v>
      </c>
      <c r="M2" s="1">
        <v>84</v>
      </c>
      <c r="N2" s="1">
        <v>85</v>
      </c>
      <c r="O2" s="1">
        <v>87</v>
      </c>
      <c r="P2" s="1">
        <v>86</v>
      </c>
      <c r="Q2" s="1">
        <v>88</v>
      </c>
      <c r="R2" s="1">
        <v>88</v>
      </c>
      <c r="S2" s="1">
        <v>88</v>
      </c>
      <c r="T2" s="1">
        <v>90</v>
      </c>
      <c r="U2" s="1">
        <v>89</v>
      </c>
      <c r="V2" s="1">
        <v>90</v>
      </c>
      <c r="W2" s="1">
        <v>90</v>
      </c>
      <c r="X2" s="1">
        <v>90</v>
      </c>
      <c r="Y2" s="1">
        <v>89</v>
      </c>
      <c r="Z2" s="1">
        <v>89</v>
      </c>
      <c r="AA2" s="1">
        <v>89</v>
      </c>
      <c r="AB2" s="1">
        <v>88</v>
      </c>
      <c r="AC2" s="1">
        <v>89</v>
      </c>
      <c r="AD2" s="1">
        <v>89</v>
      </c>
    </row>
    <row r="3" spans="1:30" x14ac:dyDescent="0.25">
      <c r="A3" t="s">
        <v>10</v>
      </c>
      <c r="B3" s="1">
        <v>11</v>
      </c>
      <c r="C3" s="1">
        <v>11</v>
      </c>
      <c r="D3" s="1">
        <v>11</v>
      </c>
      <c r="E3" s="1">
        <v>11</v>
      </c>
      <c r="F3" s="1">
        <v>11</v>
      </c>
      <c r="G3" s="1">
        <v>11</v>
      </c>
      <c r="H3" s="1">
        <v>11</v>
      </c>
      <c r="I3" s="1">
        <v>11</v>
      </c>
      <c r="J3" s="1">
        <v>12</v>
      </c>
      <c r="K3" s="1">
        <v>11</v>
      </c>
      <c r="L3" s="1">
        <v>12</v>
      </c>
      <c r="M3" s="1">
        <v>10</v>
      </c>
      <c r="N3" s="1">
        <v>9</v>
      </c>
      <c r="O3" s="1">
        <v>7</v>
      </c>
      <c r="P3" s="1">
        <v>8</v>
      </c>
      <c r="Q3" s="1">
        <v>6</v>
      </c>
      <c r="R3" s="1">
        <v>6</v>
      </c>
      <c r="S3" s="1">
        <v>6</v>
      </c>
      <c r="T3" s="1">
        <v>4</v>
      </c>
      <c r="U3" s="1">
        <v>5</v>
      </c>
      <c r="V3" s="1">
        <v>4</v>
      </c>
      <c r="W3" s="1">
        <v>4</v>
      </c>
      <c r="X3" s="1">
        <v>4</v>
      </c>
      <c r="Y3" s="1">
        <v>5</v>
      </c>
      <c r="Z3" s="1">
        <v>5</v>
      </c>
      <c r="AA3" s="1">
        <v>5</v>
      </c>
      <c r="AB3" s="1">
        <v>6</v>
      </c>
      <c r="AC3" s="1">
        <v>5</v>
      </c>
      <c r="AD3" s="1">
        <v>5</v>
      </c>
    </row>
    <row r="4" spans="1:30" x14ac:dyDescent="0.25">
      <c r="A4" t="s">
        <v>11</v>
      </c>
      <c r="B4" s="1">
        <v>14</v>
      </c>
      <c r="C4" s="1">
        <v>14</v>
      </c>
      <c r="D4" s="1">
        <v>14</v>
      </c>
      <c r="E4" s="1">
        <v>14</v>
      </c>
      <c r="F4" s="1">
        <v>14</v>
      </c>
      <c r="G4" s="1">
        <v>14</v>
      </c>
      <c r="H4" s="1">
        <v>14</v>
      </c>
      <c r="I4" s="1">
        <v>14</v>
      </c>
      <c r="J4" s="1">
        <v>16</v>
      </c>
      <c r="K4" s="1">
        <v>16</v>
      </c>
      <c r="L4" s="1">
        <v>16</v>
      </c>
      <c r="M4" s="1">
        <v>16</v>
      </c>
      <c r="N4" s="1">
        <v>15</v>
      </c>
      <c r="O4" s="1">
        <v>15</v>
      </c>
      <c r="P4" s="1">
        <v>16</v>
      </c>
      <c r="Q4" s="1">
        <v>16</v>
      </c>
      <c r="R4" s="1">
        <v>17</v>
      </c>
      <c r="S4" s="1">
        <v>17</v>
      </c>
      <c r="T4" s="1">
        <v>12</v>
      </c>
      <c r="U4" s="1">
        <v>11</v>
      </c>
      <c r="V4" s="1">
        <v>10</v>
      </c>
      <c r="W4" s="1">
        <v>10</v>
      </c>
      <c r="X4" s="1">
        <v>10</v>
      </c>
      <c r="Y4" s="1">
        <v>9</v>
      </c>
      <c r="Z4" s="1">
        <v>10</v>
      </c>
      <c r="AA4" s="1">
        <v>10</v>
      </c>
      <c r="AB4" s="1">
        <v>9</v>
      </c>
      <c r="AC4" s="1">
        <v>10</v>
      </c>
      <c r="AD4" s="1">
        <v>10</v>
      </c>
    </row>
    <row r="5" spans="1:30" x14ac:dyDescent="0.25">
      <c r="A5" t="s">
        <v>12</v>
      </c>
      <c r="B5" s="1">
        <f t="shared" ref="B5:G5" si="0">200-B2-B3-B4</f>
        <v>92</v>
      </c>
      <c r="C5" s="1">
        <f t="shared" si="0"/>
        <v>92</v>
      </c>
      <c r="D5" s="1">
        <f t="shared" si="0"/>
        <v>92</v>
      </c>
      <c r="E5" s="1">
        <f t="shared" si="0"/>
        <v>92</v>
      </c>
      <c r="F5" s="1">
        <f t="shared" si="0"/>
        <v>92</v>
      </c>
      <c r="G5" s="1">
        <f t="shared" si="0"/>
        <v>92</v>
      </c>
      <c r="H5" s="1">
        <f>200-H2-H3-H4</f>
        <v>92</v>
      </c>
      <c r="I5" s="1">
        <f t="shared" ref="I5:AD5" si="1">200-I2-I3-I4</f>
        <v>92</v>
      </c>
      <c r="J5" s="1">
        <f t="shared" si="1"/>
        <v>90</v>
      </c>
      <c r="K5" s="1">
        <f t="shared" si="1"/>
        <v>90</v>
      </c>
      <c r="L5" s="1">
        <f t="shared" si="1"/>
        <v>90</v>
      </c>
      <c r="M5" s="1">
        <f t="shared" si="1"/>
        <v>90</v>
      </c>
      <c r="N5" s="1">
        <f t="shared" si="1"/>
        <v>91</v>
      </c>
      <c r="O5" s="1">
        <f t="shared" si="1"/>
        <v>91</v>
      </c>
      <c r="P5" s="1">
        <f t="shared" si="1"/>
        <v>90</v>
      </c>
      <c r="Q5" s="1">
        <f t="shared" si="1"/>
        <v>90</v>
      </c>
      <c r="R5" s="1">
        <f t="shared" si="1"/>
        <v>89</v>
      </c>
      <c r="S5" s="1">
        <f t="shared" si="1"/>
        <v>89</v>
      </c>
      <c r="T5" s="1">
        <f>200-T2-T3-T4</f>
        <v>94</v>
      </c>
      <c r="U5" s="1">
        <f t="shared" si="1"/>
        <v>95</v>
      </c>
      <c r="V5" s="1">
        <f t="shared" si="1"/>
        <v>96</v>
      </c>
      <c r="W5" s="1">
        <f t="shared" si="1"/>
        <v>96</v>
      </c>
      <c r="X5" s="1">
        <f t="shared" si="1"/>
        <v>96</v>
      </c>
      <c r="Y5" s="1">
        <f t="shared" si="1"/>
        <v>97</v>
      </c>
      <c r="Z5" s="1">
        <f t="shared" si="1"/>
        <v>96</v>
      </c>
      <c r="AA5" s="1">
        <f>200-AA2-AA3-AA4</f>
        <v>96</v>
      </c>
      <c r="AB5" s="1">
        <f t="shared" si="1"/>
        <v>97</v>
      </c>
      <c r="AC5" s="1">
        <f t="shared" si="1"/>
        <v>96</v>
      </c>
      <c r="AD5" s="1">
        <f t="shared" si="1"/>
        <v>96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0.875</v>
      </c>
      <c r="C7" s="1">
        <f t="shared" ref="C7:AD7" si="3">(C5+C2)/C6</f>
        <v>0.875</v>
      </c>
      <c r="D7" s="1">
        <f t="shared" si="3"/>
        <v>0.875</v>
      </c>
      <c r="E7" s="1">
        <f t="shared" si="3"/>
        <v>0.875</v>
      </c>
      <c r="F7" s="1">
        <f t="shared" si="3"/>
        <v>0.875</v>
      </c>
      <c r="G7" s="1">
        <f t="shared" si="3"/>
        <v>0.875</v>
      </c>
      <c r="H7" s="1">
        <f t="shared" si="3"/>
        <v>0.875</v>
      </c>
      <c r="I7" s="1">
        <f t="shared" si="3"/>
        <v>0.875</v>
      </c>
      <c r="J7" s="1">
        <f t="shared" si="3"/>
        <v>0.86</v>
      </c>
      <c r="K7" s="1">
        <f t="shared" si="3"/>
        <v>0.86499999999999999</v>
      </c>
      <c r="L7" s="1">
        <f t="shared" si="3"/>
        <v>0.86</v>
      </c>
      <c r="M7" s="1">
        <f t="shared" si="3"/>
        <v>0.87</v>
      </c>
      <c r="N7" s="1">
        <f t="shared" si="3"/>
        <v>0.88</v>
      </c>
      <c r="O7" s="1">
        <f t="shared" si="3"/>
        <v>0.89</v>
      </c>
      <c r="P7" s="1">
        <f t="shared" si="3"/>
        <v>0.88</v>
      </c>
      <c r="Q7" s="1">
        <f t="shared" si="3"/>
        <v>0.89</v>
      </c>
      <c r="R7" s="1">
        <f t="shared" si="3"/>
        <v>0.88500000000000001</v>
      </c>
      <c r="S7" s="1">
        <f t="shared" si="3"/>
        <v>0.88500000000000001</v>
      </c>
      <c r="T7" s="1">
        <f t="shared" si="3"/>
        <v>0.92</v>
      </c>
      <c r="U7" s="1">
        <f t="shared" si="3"/>
        <v>0.92</v>
      </c>
      <c r="V7" s="1">
        <f t="shared" si="3"/>
        <v>0.93</v>
      </c>
      <c r="W7" s="1">
        <f t="shared" si="3"/>
        <v>0.93</v>
      </c>
      <c r="X7" s="1">
        <f t="shared" si="3"/>
        <v>0.93</v>
      </c>
      <c r="Y7" s="1">
        <f t="shared" si="3"/>
        <v>0.93</v>
      </c>
      <c r="Z7" s="1">
        <f t="shared" si="3"/>
        <v>0.92500000000000004</v>
      </c>
      <c r="AA7" s="1">
        <f t="shared" si="3"/>
        <v>0.92500000000000004</v>
      </c>
      <c r="AB7" s="1">
        <f t="shared" si="3"/>
        <v>0.92500000000000004</v>
      </c>
      <c r="AC7" s="1">
        <f t="shared" si="3"/>
        <v>0.92500000000000004</v>
      </c>
      <c r="AD7" s="1">
        <f t="shared" si="3"/>
        <v>0.92500000000000004</v>
      </c>
    </row>
    <row r="8" spans="1:30" x14ac:dyDescent="0.25">
      <c r="A8" t="s">
        <v>1</v>
      </c>
      <c r="B8" s="1">
        <f>1-B7</f>
        <v>0.125</v>
      </c>
      <c r="C8" s="1">
        <f t="shared" ref="C8:AD8" si="4">1-C7</f>
        <v>0.125</v>
      </c>
      <c r="D8" s="1">
        <f t="shared" si="4"/>
        <v>0.125</v>
      </c>
      <c r="E8" s="1">
        <f t="shared" si="4"/>
        <v>0.125</v>
      </c>
      <c r="F8" s="1">
        <f t="shared" si="4"/>
        <v>0.125</v>
      </c>
      <c r="G8" s="1">
        <f t="shared" si="4"/>
        <v>0.125</v>
      </c>
      <c r="H8" s="1">
        <f t="shared" si="4"/>
        <v>0.125</v>
      </c>
      <c r="I8" s="1">
        <f t="shared" si="4"/>
        <v>0.125</v>
      </c>
      <c r="J8" s="1">
        <f t="shared" si="4"/>
        <v>0.14000000000000001</v>
      </c>
      <c r="K8" s="1">
        <f t="shared" si="4"/>
        <v>0.13500000000000001</v>
      </c>
      <c r="L8" s="1">
        <f t="shared" si="4"/>
        <v>0.14000000000000001</v>
      </c>
      <c r="M8" s="1">
        <f t="shared" si="4"/>
        <v>0.13</v>
      </c>
      <c r="N8" s="1">
        <f t="shared" si="4"/>
        <v>0.12</v>
      </c>
      <c r="O8" s="1">
        <f t="shared" si="4"/>
        <v>0.10999999999999999</v>
      </c>
      <c r="P8" s="1">
        <f t="shared" si="4"/>
        <v>0.12</v>
      </c>
      <c r="Q8" s="1">
        <f t="shared" si="4"/>
        <v>0.10999999999999999</v>
      </c>
      <c r="R8" s="1">
        <f t="shared" si="4"/>
        <v>0.11499999999999999</v>
      </c>
      <c r="S8" s="1">
        <f t="shared" si="4"/>
        <v>0.11499999999999999</v>
      </c>
      <c r="T8" s="1">
        <f t="shared" si="4"/>
        <v>7.999999999999996E-2</v>
      </c>
      <c r="U8" s="1">
        <f t="shared" si="4"/>
        <v>7.999999999999996E-2</v>
      </c>
      <c r="V8" s="1">
        <f t="shared" si="4"/>
        <v>6.9999999999999951E-2</v>
      </c>
      <c r="W8" s="1">
        <f t="shared" si="4"/>
        <v>6.9999999999999951E-2</v>
      </c>
      <c r="X8" s="1">
        <f t="shared" si="4"/>
        <v>6.9999999999999951E-2</v>
      </c>
      <c r="Y8" s="1">
        <f t="shared" si="4"/>
        <v>6.9999999999999951E-2</v>
      </c>
      <c r="Z8" s="1">
        <f t="shared" si="4"/>
        <v>7.4999999999999956E-2</v>
      </c>
      <c r="AA8" s="1">
        <f t="shared" si="4"/>
        <v>7.4999999999999956E-2</v>
      </c>
      <c r="AB8" s="1">
        <f t="shared" si="4"/>
        <v>7.4999999999999956E-2</v>
      </c>
      <c r="AC8" s="1">
        <f t="shared" si="4"/>
        <v>7.4999999999999956E-2</v>
      </c>
      <c r="AD8" s="1">
        <f t="shared" si="4"/>
        <v>7.4999999999999956E-2</v>
      </c>
    </row>
    <row r="9" spans="1:30" x14ac:dyDescent="0.25">
      <c r="A9" t="s">
        <v>52</v>
      </c>
      <c r="B9" s="1">
        <f>B2/(B2+B3)</f>
        <v>0.88297872340425532</v>
      </c>
      <c r="C9" s="1">
        <f t="shared" ref="C9:AD9" si="5">C2/(C2+C3)</f>
        <v>0.88297872340425532</v>
      </c>
      <c r="D9" s="1">
        <f t="shared" si="5"/>
        <v>0.88297872340425532</v>
      </c>
      <c r="E9" s="1">
        <f t="shared" si="5"/>
        <v>0.88297872340425532</v>
      </c>
      <c r="F9" s="1">
        <f t="shared" si="5"/>
        <v>0.88297872340425532</v>
      </c>
      <c r="G9" s="1">
        <f t="shared" si="5"/>
        <v>0.88297872340425532</v>
      </c>
      <c r="H9" s="1">
        <f t="shared" si="5"/>
        <v>0.88297872340425532</v>
      </c>
      <c r="I9" s="1">
        <f t="shared" si="5"/>
        <v>0.88297872340425532</v>
      </c>
      <c r="J9" s="1">
        <f t="shared" si="5"/>
        <v>0.87234042553191493</v>
      </c>
      <c r="K9" s="1">
        <f t="shared" si="5"/>
        <v>0.88297872340425532</v>
      </c>
      <c r="L9" s="1">
        <f t="shared" si="5"/>
        <v>0.87234042553191493</v>
      </c>
      <c r="M9" s="1">
        <f t="shared" si="5"/>
        <v>0.8936170212765957</v>
      </c>
      <c r="N9" s="1">
        <f t="shared" si="5"/>
        <v>0.9042553191489362</v>
      </c>
      <c r="O9" s="1">
        <f t="shared" si="5"/>
        <v>0.92553191489361697</v>
      </c>
      <c r="P9" s="1">
        <f t="shared" si="5"/>
        <v>0.91489361702127658</v>
      </c>
      <c r="Q9" s="1">
        <f t="shared" si="5"/>
        <v>0.93617021276595747</v>
      </c>
      <c r="R9" s="1">
        <f t="shared" si="5"/>
        <v>0.93617021276595747</v>
      </c>
      <c r="S9" s="1">
        <f t="shared" si="5"/>
        <v>0.93617021276595747</v>
      </c>
      <c r="T9" s="1">
        <f t="shared" si="5"/>
        <v>0.95744680851063835</v>
      </c>
      <c r="U9" s="1">
        <f t="shared" si="5"/>
        <v>0.94680851063829785</v>
      </c>
      <c r="V9" s="1">
        <f t="shared" si="5"/>
        <v>0.95744680851063835</v>
      </c>
      <c r="W9" s="1">
        <f t="shared" si="5"/>
        <v>0.95744680851063835</v>
      </c>
      <c r="X9" s="1">
        <f t="shared" si="5"/>
        <v>0.95744680851063835</v>
      </c>
      <c r="Y9" s="1">
        <f t="shared" si="5"/>
        <v>0.94680851063829785</v>
      </c>
      <c r="Z9" s="1">
        <f t="shared" si="5"/>
        <v>0.94680851063829785</v>
      </c>
      <c r="AA9" s="1">
        <f t="shared" si="5"/>
        <v>0.94680851063829785</v>
      </c>
      <c r="AB9" s="1">
        <f t="shared" si="5"/>
        <v>0.93617021276595747</v>
      </c>
      <c r="AC9" s="1">
        <f t="shared" si="5"/>
        <v>0.94680851063829785</v>
      </c>
      <c r="AD9" s="1">
        <f t="shared" si="5"/>
        <v>0.94680851063829785</v>
      </c>
    </row>
    <row r="10" spans="1:30" x14ac:dyDescent="0.25">
      <c r="A10" t="s">
        <v>53</v>
      </c>
      <c r="B10" s="1">
        <f>B2/(B2+B4)</f>
        <v>0.85567010309278346</v>
      </c>
      <c r="C10" s="1">
        <f t="shared" ref="C10:AD10" si="6">C2/(C2+C4)</f>
        <v>0.85567010309278346</v>
      </c>
      <c r="D10" s="1">
        <f t="shared" si="6"/>
        <v>0.85567010309278346</v>
      </c>
      <c r="E10" s="1">
        <f t="shared" si="6"/>
        <v>0.85567010309278346</v>
      </c>
      <c r="F10" s="1">
        <f t="shared" si="6"/>
        <v>0.85567010309278346</v>
      </c>
      <c r="G10" s="1">
        <f t="shared" si="6"/>
        <v>0.85567010309278346</v>
      </c>
      <c r="H10" s="1">
        <f t="shared" si="6"/>
        <v>0.85567010309278346</v>
      </c>
      <c r="I10" s="1">
        <f t="shared" si="6"/>
        <v>0.85567010309278346</v>
      </c>
      <c r="J10" s="1">
        <f t="shared" si="6"/>
        <v>0.83673469387755106</v>
      </c>
      <c r="K10" s="1">
        <f t="shared" si="6"/>
        <v>0.83838383838383834</v>
      </c>
      <c r="L10" s="1">
        <f t="shared" si="6"/>
        <v>0.83673469387755106</v>
      </c>
      <c r="M10" s="1">
        <f t="shared" si="6"/>
        <v>0.84</v>
      </c>
      <c r="N10" s="1">
        <f t="shared" si="6"/>
        <v>0.85</v>
      </c>
      <c r="O10" s="1">
        <f t="shared" si="6"/>
        <v>0.8529411764705882</v>
      </c>
      <c r="P10" s="1">
        <f t="shared" si="6"/>
        <v>0.84313725490196079</v>
      </c>
      <c r="Q10" s="1">
        <f t="shared" si="6"/>
        <v>0.84615384615384615</v>
      </c>
      <c r="R10" s="1">
        <f t="shared" si="6"/>
        <v>0.83809523809523812</v>
      </c>
      <c r="S10" s="1">
        <f t="shared" si="6"/>
        <v>0.83809523809523812</v>
      </c>
      <c r="T10" s="1">
        <f t="shared" si="6"/>
        <v>0.88235294117647056</v>
      </c>
      <c r="U10" s="1">
        <f t="shared" si="6"/>
        <v>0.89</v>
      </c>
      <c r="V10" s="1">
        <f t="shared" si="6"/>
        <v>0.9</v>
      </c>
      <c r="W10" s="1">
        <f t="shared" si="6"/>
        <v>0.9</v>
      </c>
      <c r="X10" s="1">
        <f t="shared" si="6"/>
        <v>0.9</v>
      </c>
      <c r="Y10" s="1">
        <f t="shared" si="6"/>
        <v>0.90816326530612246</v>
      </c>
      <c r="Z10" s="1">
        <f t="shared" si="6"/>
        <v>0.89898989898989901</v>
      </c>
      <c r="AA10" s="1">
        <f t="shared" si="6"/>
        <v>0.89898989898989901</v>
      </c>
      <c r="AB10" s="1">
        <f t="shared" si="6"/>
        <v>0.90721649484536082</v>
      </c>
      <c r="AC10" s="1">
        <f t="shared" si="6"/>
        <v>0.89898989898989901</v>
      </c>
      <c r="AD10" s="1">
        <f t="shared" si="6"/>
        <v>0.89898989898989901</v>
      </c>
    </row>
    <row r="11" spans="1:30" x14ac:dyDescent="0.25">
      <c r="A11" t="s">
        <v>13</v>
      </c>
      <c r="B11" s="1">
        <f>2*B9*B10/(B9+B10)</f>
        <v>0.86910994764397909</v>
      </c>
      <c r="C11" s="1">
        <f t="shared" ref="C11:AD11" si="7">2*C9*C10/(C9+C10)</f>
        <v>0.86910994764397909</v>
      </c>
      <c r="D11" s="1">
        <f t="shared" si="7"/>
        <v>0.86910994764397909</v>
      </c>
      <c r="E11" s="1">
        <f t="shared" si="7"/>
        <v>0.86910994764397909</v>
      </c>
      <c r="F11" s="1">
        <f t="shared" si="7"/>
        <v>0.86910994764397909</v>
      </c>
      <c r="G11" s="1">
        <f t="shared" si="7"/>
        <v>0.86910994764397909</v>
      </c>
      <c r="H11" s="1">
        <f t="shared" si="7"/>
        <v>0.86910994764397909</v>
      </c>
      <c r="I11" s="1">
        <f t="shared" si="7"/>
        <v>0.86910994764397909</v>
      </c>
      <c r="J11" s="1">
        <f t="shared" si="7"/>
        <v>0.85416666666666674</v>
      </c>
      <c r="K11" s="1">
        <f t="shared" si="7"/>
        <v>0.86010362694300524</v>
      </c>
      <c r="L11" s="1">
        <f t="shared" si="7"/>
        <v>0.85416666666666674</v>
      </c>
      <c r="M11" s="1">
        <f t="shared" si="7"/>
        <v>0.86597938144329889</v>
      </c>
      <c r="N11" s="1">
        <f t="shared" si="7"/>
        <v>0.87628865979381432</v>
      </c>
      <c r="O11" s="1">
        <f t="shared" si="7"/>
        <v>0.88775510204081631</v>
      </c>
      <c r="P11" s="1">
        <f t="shared" si="7"/>
        <v>0.87755102040816324</v>
      </c>
      <c r="Q11" s="1">
        <f t="shared" si="7"/>
        <v>0.88888888888888884</v>
      </c>
      <c r="R11" s="1">
        <f t="shared" si="7"/>
        <v>0.88442211055276376</v>
      </c>
      <c r="S11" s="1">
        <f t="shared" si="7"/>
        <v>0.88442211055276376</v>
      </c>
      <c r="T11" s="1">
        <f t="shared" si="7"/>
        <v>0.91836734693877542</v>
      </c>
      <c r="U11" s="1">
        <f t="shared" si="7"/>
        <v>0.91752577319587636</v>
      </c>
      <c r="V11" s="1">
        <f t="shared" si="7"/>
        <v>0.92783505154639179</v>
      </c>
      <c r="W11" s="1">
        <f t="shared" si="7"/>
        <v>0.92783505154639179</v>
      </c>
      <c r="X11" s="1">
        <f t="shared" si="7"/>
        <v>0.92783505154639179</v>
      </c>
      <c r="Y11" s="1">
        <f t="shared" si="7"/>
        <v>0.92708333333333337</v>
      </c>
      <c r="Z11" s="1">
        <f t="shared" si="7"/>
        <v>0.92227979274611382</v>
      </c>
      <c r="AA11" s="1">
        <f t="shared" si="7"/>
        <v>0.92227979274611382</v>
      </c>
      <c r="AB11" s="1">
        <f t="shared" si="7"/>
        <v>0.92146596858638752</v>
      </c>
      <c r="AC11" s="1">
        <f t="shared" si="7"/>
        <v>0.92227979274611382</v>
      </c>
      <c r="AD11" s="1">
        <f t="shared" si="7"/>
        <v>0.92227979274611382</v>
      </c>
    </row>
    <row r="12" spans="1:30" x14ac:dyDescent="0.25">
      <c r="A12" t="s">
        <v>14</v>
      </c>
      <c r="B12" s="1">
        <f>B5/(B4+B5)</f>
        <v>0.86792452830188682</v>
      </c>
      <c r="C12" s="1">
        <f t="shared" ref="C12:AD12" si="8">C5/(C4+C5)</f>
        <v>0.86792452830188682</v>
      </c>
      <c r="D12" s="1">
        <f t="shared" si="8"/>
        <v>0.86792452830188682</v>
      </c>
      <c r="E12" s="1">
        <f t="shared" si="8"/>
        <v>0.86792452830188682</v>
      </c>
      <c r="F12" s="1">
        <f t="shared" si="8"/>
        <v>0.86792452830188682</v>
      </c>
      <c r="G12" s="1">
        <f t="shared" si="8"/>
        <v>0.86792452830188682</v>
      </c>
      <c r="H12" s="1">
        <f t="shared" si="8"/>
        <v>0.86792452830188682</v>
      </c>
      <c r="I12" s="1">
        <f t="shared" si="8"/>
        <v>0.86792452830188682</v>
      </c>
      <c r="J12" s="1">
        <f t="shared" si="8"/>
        <v>0.84905660377358494</v>
      </c>
      <c r="K12" s="1">
        <f t="shared" si="8"/>
        <v>0.84905660377358494</v>
      </c>
      <c r="L12" s="1">
        <f t="shared" si="8"/>
        <v>0.84905660377358494</v>
      </c>
      <c r="M12" s="1">
        <f t="shared" si="8"/>
        <v>0.84905660377358494</v>
      </c>
      <c r="N12" s="1">
        <f t="shared" si="8"/>
        <v>0.85849056603773588</v>
      </c>
      <c r="O12" s="1">
        <f t="shared" si="8"/>
        <v>0.85849056603773588</v>
      </c>
      <c r="P12" s="1">
        <f t="shared" si="8"/>
        <v>0.84905660377358494</v>
      </c>
      <c r="Q12" s="1">
        <f t="shared" si="8"/>
        <v>0.84905660377358494</v>
      </c>
      <c r="R12" s="1">
        <f t="shared" si="8"/>
        <v>0.839622641509434</v>
      </c>
      <c r="S12" s="1">
        <f t="shared" si="8"/>
        <v>0.839622641509434</v>
      </c>
      <c r="T12" s="1">
        <f t="shared" si="8"/>
        <v>0.8867924528301887</v>
      </c>
      <c r="U12" s="1">
        <f t="shared" si="8"/>
        <v>0.89622641509433965</v>
      </c>
      <c r="V12" s="1">
        <f t="shared" si="8"/>
        <v>0.90566037735849059</v>
      </c>
      <c r="W12" s="1">
        <f t="shared" si="8"/>
        <v>0.90566037735849059</v>
      </c>
      <c r="X12" s="1">
        <f t="shared" si="8"/>
        <v>0.90566037735849059</v>
      </c>
      <c r="Y12" s="1">
        <f t="shared" si="8"/>
        <v>0.91509433962264153</v>
      </c>
      <c r="Z12" s="1">
        <f t="shared" si="8"/>
        <v>0.90566037735849059</v>
      </c>
      <c r="AA12" s="1">
        <f t="shared" si="8"/>
        <v>0.90566037735849059</v>
      </c>
      <c r="AB12" s="1">
        <f t="shared" si="8"/>
        <v>0.91509433962264153</v>
      </c>
      <c r="AC12" s="1">
        <f t="shared" si="8"/>
        <v>0.90566037735849059</v>
      </c>
      <c r="AD12" s="1">
        <f t="shared" si="8"/>
        <v>0.90566037735849059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Normal="100" workbookViewId="0">
      <selection activeCell="AD4" sqref="AD4"/>
    </sheetView>
  </sheetViews>
  <sheetFormatPr baseColWidth="10" defaultRowHeight="15" x14ac:dyDescent="0.25"/>
  <cols>
    <col min="1" max="1" width="21.71093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1</v>
      </c>
      <c r="V2" s="1">
        <v>2</v>
      </c>
      <c r="W2" s="1">
        <v>2</v>
      </c>
      <c r="X2" s="1">
        <v>2</v>
      </c>
      <c r="Y2" s="1">
        <v>2</v>
      </c>
      <c r="Z2" s="1">
        <v>2</v>
      </c>
      <c r="AA2" s="1">
        <v>2</v>
      </c>
      <c r="AB2" s="1">
        <v>2</v>
      </c>
      <c r="AC2" s="1">
        <v>2</v>
      </c>
      <c r="AD2" s="1">
        <v>2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34</v>
      </c>
      <c r="I3" s="1">
        <v>34</v>
      </c>
      <c r="J3" s="1">
        <v>34</v>
      </c>
      <c r="K3" s="1">
        <v>34</v>
      </c>
      <c r="L3" s="1">
        <v>34</v>
      </c>
      <c r="M3" s="1">
        <v>34</v>
      </c>
      <c r="N3" s="1">
        <v>34</v>
      </c>
      <c r="O3" s="1">
        <v>34</v>
      </c>
      <c r="P3" s="1">
        <v>34</v>
      </c>
      <c r="Q3" s="1">
        <v>34</v>
      </c>
      <c r="R3" s="1">
        <v>34</v>
      </c>
      <c r="S3" s="1">
        <v>34</v>
      </c>
      <c r="T3" s="1">
        <v>33</v>
      </c>
      <c r="U3" s="1">
        <v>33</v>
      </c>
      <c r="V3" s="1">
        <v>32</v>
      </c>
      <c r="W3" s="1">
        <v>32</v>
      </c>
      <c r="X3" s="1">
        <v>32</v>
      </c>
      <c r="Y3" s="1">
        <v>32</v>
      </c>
      <c r="Z3" s="1">
        <v>32</v>
      </c>
      <c r="AA3" s="1">
        <v>32</v>
      </c>
      <c r="AB3" s="1">
        <v>32</v>
      </c>
      <c r="AC3" s="1">
        <v>32</v>
      </c>
      <c r="AD3" s="1">
        <v>32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2</v>
      </c>
      <c r="L4" s="1">
        <v>2</v>
      </c>
      <c r="M4" s="1">
        <v>1</v>
      </c>
      <c r="N4" s="1">
        <v>2</v>
      </c>
      <c r="O4" s="1">
        <v>2</v>
      </c>
      <c r="P4" s="1">
        <v>2</v>
      </c>
      <c r="Q4" s="1">
        <v>2</v>
      </c>
      <c r="R4" s="1">
        <v>3</v>
      </c>
      <c r="S4" s="1">
        <v>3</v>
      </c>
      <c r="T4" s="1">
        <v>1</v>
      </c>
      <c r="U4" s="1">
        <v>2</v>
      </c>
      <c r="V4" s="1">
        <v>2</v>
      </c>
      <c r="W4" s="1">
        <v>2</v>
      </c>
      <c r="X4" s="1">
        <v>1</v>
      </c>
      <c r="Y4" s="1">
        <v>2</v>
      </c>
      <c r="Z4" s="1">
        <v>2</v>
      </c>
      <c r="AA4" s="1">
        <v>2</v>
      </c>
      <c r="AB4" s="1">
        <v>3</v>
      </c>
      <c r="AC4" s="1">
        <v>2</v>
      </c>
      <c r="AD4" s="1">
        <v>3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166</v>
      </c>
      <c r="H5" s="1">
        <f>200-H2-H3-H4</f>
        <v>166</v>
      </c>
      <c r="I5" s="1">
        <f t="shared" ref="I5:AD5" si="1">200-I2-I3-I4</f>
        <v>166</v>
      </c>
      <c r="J5" s="1">
        <f t="shared" si="1"/>
        <v>164</v>
      </c>
      <c r="K5" s="1">
        <f t="shared" si="1"/>
        <v>164</v>
      </c>
      <c r="L5" s="1">
        <f t="shared" si="1"/>
        <v>164</v>
      </c>
      <c r="M5" s="1">
        <f t="shared" si="1"/>
        <v>165</v>
      </c>
      <c r="N5" s="1">
        <f t="shared" si="1"/>
        <v>164</v>
      </c>
      <c r="O5" s="1">
        <f t="shared" si="1"/>
        <v>164</v>
      </c>
      <c r="P5" s="1">
        <f t="shared" si="1"/>
        <v>164</v>
      </c>
      <c r="Q5" s="1">
        <f t="shared" si="1"/>
        <v>164</v>
      </c>
      <c r="R5" s="1">
        <f t="shared" si="1"/>
        <v>163</v>
      </c>
      <c r="S5" s="1">
        <f t="shared" si="1"/>
        <v>163</v>
      </c>
      <c r="T5" s="1">
        <f>200-T2-T3-T4</f>
        <v>165</v>
      </c>
      <c r="U5" s="1">
        <f t="shared" si="1"/>
        <v>164</v>
      </c>
      <c r="V5" s="1">
        <f t="shared" si="1"/>
        <v>164</v>
      </c>
      <c r="W5" s="1">
        <f t="shared" si="1"/>
        <v>164</v>
      </c>
      <c r="X5" s="1">
        <f t="shared" si="1"/>
        <v>165</v>
      </c>
      <c r="Y5" s="1">
        <f t="shared" si="1"/>
        <v>164</v>
      </c>
      <c r="Z5" s="1">
        <f t="shared" si="1"/>
        <v>164</v>
      </c>
      <c r="AA5" s="1">
        <f>200-AA2-AA3-AA4</f>
        <v>164</v>
      </c>
      <c r="AB5" s="1">
        <f t="shared" si="1"/>
        <v>163</v>
      </c>
      <c r="AC5" s="1">
        <f t="shared" si="1"/>
        <v>164</v>
      </c>
      <c r="AD5" s="1">
        <f t="shared" si="1"/>
        <v>163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</v>
      </c>
      <c r="G7" s="1">
        <f t="shared" si="3"/>
        <v>0.83</v>
      </c>
      <c r="H7" s="1">
        <f t="shared" si="3"/>
        <v>0.83</v>
      </c>
      <c r="I7" s="1">
        <f t="shared" si="3"/>
        <v>0.83</v>
      </c>
      <c r="J7" s="1">
        <f t="shared" si="3"/>
        <v>0.82</v>
      </c>
      <c r="K7" s="1">
        <f t="shared" si="3"/>
        <v>0.82</v>
      </c>
      <c r="L7" s="1">
        <f t="shared" si="3"/>
        <v>0.82</v>
      </c>
      <c r="M7" s="1">
        <f t="shared" si="3"/>
        <v>0.82499999999999996</v>
      </c>
      <c r="N7" s="1">
        <f t="shared" si="3"/>
        <v>0.82</v>
      </c>
      <c r="O7" s="1">
        <f t="shared" si="3"/>
        <v>0.82</v>
      </c>
      <c r="P7" s="1">
        <f t="shared" si="3"/>
        <v>0.82</v>
      </c>
      <c r="Q7" s="1">
        <f t="shared" si="3"/>
        <v>0.82</v>
      </c>
      <c r="R7" s="1">
        <f t="shared" si="3"/>
        <v>0.81499999999999995</v>
      </c>
      <c r="S7" s="1">
        <f t="shared" si="3"/>
        <v>0.81499999999999995</v>
      </c>
      <c r="T7" s="1">
        <f t="shared" si="3"/>
        <v>0.83</v>
      </c>
      <c r="U7" s="1">
        <f t="shared" si="3"/>
        <v>0.82499999999999996</v>
      </c>
      <c r="V7" s="1">
        <f t="shared" si="3"/>
        <v>0.83</v>
      </c>
      <c r="W7" s="1">
        <f t="shared" si="3"/>
        <v>0.83</v>
      </c>
      <c r="X7" s="1">
        <f t="shared" si="3"/>
        <v>0.83499999999999996</v>
      </c>
      <c r="Y7" s="1">
        <f t="shared" si="3"/>
        <v>0.83</v>
      </c>
      <c r="Z7" s="1">
        <f t="shared" si="3"/>
        <v>0.83</v>
      </c>
      <c r="AA7" s="1">
        <f t="shared" si="3"/>
        <v>0.83</v>
      </c>
      <c r="AB7" s="1">
        <f t="shared" si="3"/>
        <v>0.82499999999999996</v>
      </c>
      <c r="AC7" s="1">
        <f t="shared" si="3"/>
        <v>0.83</v>
      </c>
      <c r="AD7" s="1">
        <f t="shared" si="3"/>
        <v>0.82499999999999996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0.17000000000000004</v>
      </c>
      <c r="I8" s="1">
        <f t="shared" si="4"/>
        <v>0.17000000000000004</v>
      </c>
      <c r="J8" s="1">
        <f t="shared" si="4"/>
        <v>0.18000000000000005</v>
      </c>
      <c r="K8" s="1">
        <f t="shared" si="4"/>
        <v>0.18000000000000005</v>
      </c>
      <c r="L8" s="1">
        <f t="shared" si="4"/>
        <v>0.18000000000000005</v>
      </c>
      <c r="M8" s="1">
        <f t="shared" si="4"/>
        <v>0.17500000000000004</v>
      </c>
      <c r="N8" s="1">
        <f t="shared" si="4"/>
        <v>0.18000000000000005</v>
      </c>
      <c r="O8" s="1">
        <f t="shared" si="4"/>
        <v>0.18000000000000005</v>
      </c>
      <c r="P8" s="1">
        <f t="shared" si="4"/>
        <v>0.18000000000000005</v>
      </c>
      <c r="Q8" s="1">
        <f t="shared" si="4"/>
        <v>0.18000000000000005</v>
      </c>
      <c r="R8" s="1">
        <f t="shared" si="4"/>
        <v>0.18500000000000005</v>
      </c>
      <c r="S8" s="1">
        <f t="shared" si="4"/>
        <v>0.18500000000000005</v>
      </c>
      <c r="T8" s="1">
        <f t="shared" si="4"/>
        <v>0.17000000000000004</v>
      </c>
      <c r="U8" s="1">
        <f t="shared" si="4"/>
        <v>0.17500000000000004</v>
      </c>
      <c r="V8" s="1">
        <f t="shared" si="4"/>
        <v>0.17000000000000004</v>
      </c>
      <c r="W8" s="1">
        <f t="shared" si="4"/>
        <v>0.17000000000000004</v>
      </c>
      <c r="X8" s="1">
        <f t="shared" si="4"/>
        <v>0.16500000000000004</v>
      </c>
      <c r="Y8" s="1">
        <f t="shared" si="4"/>
        <v>0.17000000000000004</v>
      </c>
      <c r="Z8" s="1">
        <f t="shared" si="4"/>
        <v>0.17000000000000004</v>
      </c>
      <c r="AA8" s="1">
        <f t="shared" si="4"/>
        <v>0.17000000000000004</v>
      </c>
      <c r="AB8" s="1">
        <f t="shared" si="4"/>
        <v>0.17500000000000004</v>
      </c>
      <c r="AC8" s="1">
        <f t="shared" si="4"/>
        <v>0.17000000000000004</v>
      </c>
      <c r="AD8" s="1">
        <f t="shared" si="4"/>
        <v>0.17500000000000004</v>
      </c>
    </row>
    <row r="9" spans="1:30" x14ac:dyDescent="0.25">
      <c r="A9" t="s">
        <v>52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si="5"/>
        <v>0</v>
      </c>
      <c r="O9" s="1">
        <f t="shared" si="5"/>
        <v>0</v>
      </c>
      <c r="P9" s="1">
        <f t="shared" si="5"/>
        <v>0</v>
      </c>
      <c r="Q9" s="1">
        <f t="shared" si="5"/>
        <v>0</v>
      </c>
      <c r="R9" s="1">
        <f t="shared" si="5"/>
        <v>0</v>
      </c>
      <c r="S9" s="1">
        <f t="shared" si="5"/>
        <v>0</v>
      </c>
      <c r="T9" s="1">
        <f t="shared" si="5"/>
        <v>2.9411764705882353E-2</v>
      </c>
      <c r="U9" s="1">
        <f t="shared" si="5"/>
        <v>2.9411764705882353E-2</v>
      </c>
      <c r="V9" s="1">
        <f t="shared" si="5"/>
        <v>5.8823529411764705E-2</v>
      </c>
      <c r="W9" s="1">
        <f t="shared" si="5"/>
        <v>5.8823529411764705E-2</v>
      </c>
      <c r="X9" s="1">
        <f t="shared" si="5"/>
        <v>5.8823529411764705E-2</v>
      </c>
      <c r="Y9" s="1">
        <f t="shared" si="5"/>
        <v>5.8823529411764705E-2</v>
      </c>
      <c r="Z9" s="1">
        <f t="shared" si="5"/>
        <v>5.8823529411764705E-2</v>
      </c>
      <c r="AA9" s="1">
        <f t="shared" si="5"/>
        <v>5.8823529411764705E-2</v>
      </c>
      <c r="AB9" s="1">
        <f t="shared" si="5"/>
        <v>5.8823529411764705E-2</v>
      </c>
      <c r="AC9" s="1">
        <f t="shared" si="5"/>
        <v>5.8823529411764705E-2</v>
      </c>
      <c r="AD9" s="1">
        <f t="shared" si="5"/>
        <v>5.8823529411764705E-2</v>
      </c>
    </row>
    <row r="10" spans="1:30" x14ac:dyDescent="0.25">
      <c r="A10" t="s">
        <v>53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 t="e">
        <f t="shared" si="6"/>
        <v>#DIV/0!</v>
      </c>
      <c r="G10" s="1" t="e">
        <f t="shared" si="6"/>
        <v>#DIV/0!</v>
      </c>
      <c r="H10" s="1" t="e">
        <f t="shared" si="6"/>
        <v>#DIV/0!</v>
      </c>
      <c r="I10" s="1" t="e">
        <f t="shared" si="6"/>
        <v>#DIV/0!</v>
      </c>
      <c r="J10" s="1">
        <f t="shared" si="6"/>
        <v>0</v>
      </c>
      <c r="K10" s="1">
        <f t="shared" si="6"/>
        <v>0</v>
      </c>
      <c r="L10" s="1">
        <f t="shared" si="6"/>
        <v>0</v>
      </c>
      <c r="M10" s="1">
        <f t="shared" si="6"/>
        <v>0</v>
      </c>
      <c r="N10" s="1">
        <f t="shared" si="6"/>
        <v>0</v>
      </c>
      <c r="O10" s="1">
        <f t="shared" si="6"/>
        <v>0</v>
      </c>
      <c r="P10" s="1">
        <f t="shared" si="6"/>
        <v>0</v>
      </c>
      <c r="Q10" s="1">
        <f t="shared" si="6"/>
        <v>0</v>
      </c>
      <c r="R10" s="1">
        <f t="shared" si="6"/>
        <v>0</v>
      </c>
      <c r="S10" s="1">
        <f t="shared" si="6"/>
        <v>0</v>
      </c>
      <c r="T10" s="1">
        <f t="shared" si="6"/>
        <v>0.5</v>
      </c>
      <c r="U10" s="1">
        <f t="shared" si="6"/>
        <v>0.33333333333333331</v>
      </c>
      <c r="V10" s="1">
        <f t="shared" si="6"/>
        <v>0.5</v>
      </c>
      <c r="W10" s="1">
        <f t="shared" si="6"/>
        <v>0.5</v>
      </c>
      <c r="X10" s="1">
        <f t="shared" si="6"/>
        <v>0.66666666666666663</v>
      </c>
      <c r="Y10" s="1">
        <f t="shared" si="6"/>
        <v>0.5</v>
      </c>
      <c r="Z10" s="1">
        <f t="shared" si="6"/>
        <v>0.5</v>
      </c>
      <c r="AA10" s="1">
        <f t="shared" si="6"/>
        <v>0.5</v>
      </c>
      <c r="AB10" s="1">
        <f t="shared" si="6"/>
        <v>0.4</v>
      </c>
      <c r="AC10" s="1">
        <f t="shared" si="6"/>
        <v>0.5</v>
      </c>
      <c r="AD10" s="1">
        <f t="shared" si="6"/>
        <v>0.4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 t="e">
        <f t="shared" si="7"/>
        <v>#DIV/0!</v>
      </c>
      <c r="I11" s="1" t="e">
        <f t="shared" si="7"/>
        <v>#DIV/0!</v>
      </c>
      <c r="J11" s="1" t="e">
        <f t="shared" si="7"/>
        <v>#DIV/0!</v>
      </c>
      <c r="K11" s="1" t="e">
        <f t="shared" si="7"/>
        <v>#DIV/0!</v>
      </c>
      <c r="L11" s="1" t="e">
        <f t="shared" si="7"/>
        <v>#DIV/0!</v>
      </c>
      <c r="M11" s="1" t="e">
        <f t="shared" si="7"/>
        <v>#DIV/0!</v>
      </c>
      <c r="N11" s="1" t="e">
        <f t="shared" si="7"/>
        <v>#DIV/0!</v>
      </c>
      <c r="O11" s="1" t="e">
        <f t="shared" si="7"/>
        <v>#DIV/0!</v>
      </c>
      <c r="P11" s="1" t="e">
        <f t="shared" si="7"/>
        <v>#DIV/0!</v>
      </c>
      <c r="Q11" s="1" t="e">
        <f t="shared" si="7"/>
        <v>#DIV/0!</v>
      </c>
      <c r="R11" s="1" t="e">
        <f t="shared" si="7"/>
        <v>#DIV/0!</v>
      </c>
      <c r="S11" s="1" t="e">
        <f t="shared" si="7"/>
        <v>#DIV/0!</v>
      </c>
      <c r="T11" s="1">
        <f t="shared" si="7"/>
        <v>5.5555555555555552E-2</v>
      </c>
      <c r="U11" s="1">
        <f t="shared" si="7"/>
        <v>5.4054054054054057E-2</v>
      </c>
      <c r="V11" s="1">
        <f t="shared" si="7"/>
        <v>0.10526315789473684</v>
      </c>
      <c r="W11" s="1">
        <f t="shared" si="7"/>
        <v>0.10526315789473684</v>
      </c>
      <c r="X11" s="1">
        <f t="shared" si="7"/>
        <v>0.10810810810810811</v>
      </c>
      <c r="Y11" s="1">
        <f t="shared" si="7"/>
        <v>0.10526315789473684</v>
      </c>
      <c r="Z11" s="1">
        <f t="shared" si="7"/>
        <v>0.10526315789473684</v>
      </c>
      <c r="AA11" s="1">
        <f t="shared" si="7"/>
        <v>0.10526315789473684</v>
      </c>
      <c r="AB11" s="1">
        <f t="shared" si="7"/>
        <v>0.10256410256410256</v>
      </c>
      <c r="AC11" s="1">
        <f t="shared" si="7"/>
        <v>0.10526315789473684</v>
      </c>
      <c r="AD11" s="1">
        <f t="shared" si="7"/>
        <v>0.10256410256410256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1</v>
      </c>
      <c r="H12" s="1">
        <f t="shared" si="8"/>
        <v>1</v>
      </c>
      <c r="I12" s="1">
        <f t="shared" si="8"/>
        <v>1</v>
      </c>
      <c r="J12" s="1">
        <f t="shared" si="8"/>
        <v>0.98795180722891562</v>
      </c>
      <c r="K12" s="1">
        <f t="shared" si="8"/>
        <v>0.98795180722891562</v>
      </c>
      <c r="L12" s="1">
        <f t="shared" si="8"/>
        <v>0.98795180722891562</v>
      </c>
      <c r="M12" s="1">
        <f t="shared" si="8"/>
        <v>0.99397590361445787</v>
      </c>
      <c r="N12" s="1">
        <f t="shared" si="8"/>
        <v>0.98795180722891562</v>
      </c>
      <c r="O12" s="1">
        <f t="shared" si="8"/>
        <v>0.98795180722891562</v>
      </c>
      <c r="P12" s="1">
        <f t="shared" si="8"/>
        <v>0.98795180722891562</v>
      </c>
      <c r="Q12" s="1">
        <f t="shared" si="8"/>
        <v>0.98795180722891562</v>
      </c>
      <c r="R12" s="1">
        <f t="shared" si="8"/>
        <v>0.98192771084337349</v>
      </c>
      <c r="S12" s="1">
        <f t="shared" si="8"/>
        <v>0.98192771084337349</v>
      </c>
      <c r="T12" s="1">
        <f t="shared" si="8"/>
        <v>0.99397590361445787</v>
      </c>
      <c r="U12" s="1">
        <f t="shared" si="8"/>
        <v>0.98795180722891562</v>
      </c>
      <c r="V12" s="1">
        <f t="shared" si="8"/>
        <v>0.98795180722891562</v>
      </c>
      <c r="W12" s="1">
        <f t="shared" si="8"/>
        <v>0.98795180722891562</v>
      </c>
      <c r="X12" s="1">
        <f t="shared" si="8"/>
        <v>0.99397590361445787</v>
      </c>
      <c r="Y12" s="1">
        <f t="shared" si="8"/>
        <v>0.98795180722891562</v>
      </c>
      <c r="Z12" s="1">
        <f t="shared" si="8"/>
        <v>0.98795180722891562</v>
      </c>
      <c r="AA12" s="1">
        <f t="shared" si="8"/>
        <v>0.98795180722891562</v>
      </c>
      <c r="AB12" s="1">
        <f t="shared" si="8"/>
        <v>0.98192771084337349</v>
      </c>
      <c r="AC12" s="1">
        <f t="shared" si="8"/>
        <v>0.98795180722891562</v>
      </c>
      <c r="AD12" s="1">
        <f t="shared" si="8"/>
        <v>0.98192771084337349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Normal="100" workbookViewId="0">
      <selection activeCell="H31" sqref="H31"/>
    </sheetView>
  </sheetViews>
  <sheetFormatPr baseColWidth="10" defaultRowHeight="15" x14ac:dyDescent="0.25"/>
  <cols>
    <col min="1" max="1" width="24.28515625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</row>
    <row r="2" spans="1:30" x14ac:dyDescent="0.25">
      <c r="A2" t="s">
        <v>17</v>
      </c>
      <c r="B2" s="1">
        <v>68</v>
      </c>
      <c r="C2" s="1">
        <v>68</v>
      </c>
      <c r="D2" s="1">
        <v>68</v>
      </c>
      <c r="E2" s="1">
        <v>68</v>
      </c>
      <c r="F2" s="1">
        <v>68</v>
      </c>
      <c r="G2" s="1">
        <v>68</v>
      </c>
      <c r="H2" s="1">
        <v>68</v>
      </c>
      <c r="I2" s="1">
        <v>68</v>
      </c>
      <c r="J2" s="1">
        <v>67</v>
      </c>
      <c r="K2" s="1">
        <v>67</v>
      </c>
      <c r="L2" s="1">
        <v>67</v>
      </c>
      <c r="M2" s="1">
        <v>67</v>
      </c>
      <c r="N2" s="1">
        <v>68</v>
      </c>
      <c r="O2" s="1">
        <v>68</v>
      </c>
      <c r="P2" s="1">
        <v>68</v>
      </c>
      <c r="Q2" s="2">
        <v>68</v>
      </c>
      <c r="R2" s="1">
        <v>67</v>
      </c>
      <c r="S2" s="1">
        <v>67</v>
      </c>
      <c r="T2" s="1">
        <v>70</v>
      </c>
      <c r="U2" s="1">
        <v>70</v>
      </c>
      <c r="V2" s="1">
        <v>71</v>
      </c>
      <c r="W2" s="1">
        <v>71</v>
      </c>
      <c r="X2" s="1">
        <v>71</v>
      </c>
      <c r="Y2" s="1">
        <v>71</v>
      </c>
      <c r="Z2" s="1">
        <v>71</v>
      </c>
      <c r="AA2" s="1">
        <v>71</v>
      </c>
      <c r="AB2" s="1">
        <v>71</v>
      </c>
      <c r="AC2" s="1">
        <v>71</v>
      </c>
      <c r="AD2" s="1">
        <v>71</v>
      </c>
    </row>
    <row r="3" spans="1:30" x14ac:dyDescent="0.25">
      <c r="A3" t="s">
        <v>18</v>
      </c>
      <c r="B3" s="1">
        <v>4</v>
      </c>
      <c r="C3" s="1">
        <v>4</v>
      </c>
      <c r="D3" s="1">
        <v>4</v>
      </c>
      <c r="E3" s="1">
        <v>4</v>
      </c>
      <c r="F3" s="1">
        <v>4</v>
      </c>
      <c r="G3" s="1">
        <v>4</v>
      </c>
      <c r="H3" s="1">
        <v>4</v>
      </c>
      <c r="I3" s="1">
        <v>4</v>
      </c>
      <c r="J3" s="1">
        <v>5</v>
      </c>
      <c r="K3" s="1">
        <v>5</v>
      </c>
      <c r="L3" s="1">
        <v>5</v>
      </c>
      <c r="M3" s="1">
        <v>5</v>
      </c>
      <c r="N3" s="1">
        <v>4</v>
      </c>
      <c r="O3" s="1">
        <v>4</v>
      </c>
      <c r="P3" s="1">
        <v>4</v>
      </c>
      <c r="Q3" s="2">
        <v>4</v>
      </c>
      <c r="R3" s="1">
        <v>5</v>
      </c>
      <c r="S3" s="1">
        <v>5</v>
      </c>
      <c r="T3" s="1">
        <v>2</v>
      </c>
      <c r="U3" s="1">
        <v>2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 x14ac:dyDescent="0.25">
      <c r="A4" t="s">
        <v>19</v>
      </c>
      <c r="B4" s="1">
        <v>35</v>
      </c>
      <c r="C4" s="1">
        <v>35</v>
      </c>
      <c r="D4" s="1">
        <v>35</v>
      </c>
      <c r="E4" s="1">
        <v>35</v>
      </c>
      <c r="F4" s="1">
        <v>35</v>
      </c>
      <c r="G4" s="1">
        <v>35</v>
      </c>
      <c r="H4" s="1">
        <v>35</v>
      </c>
      <c r="I4" s="1">
        <v>35</v>
      </c>
      <c r="J4" s="1">
        <v>33</v>
      </c>
      <c r="K4" s="1">
        <v>32</v>
      </c>
      <c r="L4" s="1">
        <v>33</v>
      </c>
      <c r="M4" s="1">
        <v>32</v>
      </c>
      <c r="N4" s="1">
        <v>30</v>
      </c>
      <c r="O4" s="1">
        <v>28</v>
      </c>
      <c r="P4" s="1">
        <v>28</v>
      </c>
      <c r="Q4" s="2">
        <v>26</v>
      </c>
      <c r="R4" s="1">
        <v>25</v>
      </c>
      <c r="S4" s="1">
        <v>25</v>
      </c>
      <c r="T4" s="1">
        <v>26</v>
      </c>
      <c r="U4" s="1">
        <v>27</v>
      </c>
      <c r="V4" s="1">
        <v>25</v>
      </c>
      <c r="W4" s="1">
        <v>25</v>
      </c>
      <c r="X4" s="1">
        <v>26</v>
      </c>
      <c r="Y4" s="1">
        <v>27</v>
      </c>
      <c r="Z4" s="1">
        <v>26</v>
      </c>
      <c r="AA4" s="1">
        <v>26</v>
      </c>
      <c r="AB4" s="1">
        <v>27</v>
      </c>
      <c r="AC4" s="1">
        <v>26</v>
      </c>
      <c r="AD4" s="1">
        <v>25</v>
      </c>
    </row>
    <row r="5" spans="1:30" x14ac:dyDescent="0.25">
      <c r="A5" t="s">
        <v>12</v>
      </c>
      <c r="B5" s="1">
        <f t="shared" ref="B5:G5" si="0">200-B2-B3-B4</f>
        <v>93</v>
      </c>
      <c r="C5" s="1">
        <f t="shared" si="0"/>
        <v>93</v>
      </c>
      <c r="D5" s="1">
        <f t="shared" si="0"/>
        <v>93</v>
      </c>
      <c r="E5" s="1">
        <f t="shared" si="0"/>
        <v>93</v>
      </c>
      <c r="F5" s="1">
        <f t="shared" si="0"/>
        <v>93</v>
      </c>
      <c r="G5" s="1">
        <f t="shared" si="0"/>
        <v>93</v>
      </c>
      <c r="H5" s="1">
        <f>200-H2-H3-H4</f>
        <v>93</v>
      </c>
      <c r="I5" s="1">
        <f t="shared" ref="I5:AD5" si="1">200-I2-I3-I4</f>
        <v>93</v>
      </c>
      <c r="J5" s="1">
        <f t="shared" si="1"/>
        <v>95</v>
      </c>
      <c r="K5" s="1">
        <f t="shared" si="1"/>
        <v>96</v>
      </c>
      <c r="L5" s="1">
        <f t="shared" si="1"/>
        <v>95</v>
      </c>
      <c r="M5" s="1">
        <f t="shared" si="1"/>
        <v>96</v>
      </c>
      <c r="N5" s="1">
        <f t="shared" si="1"/>
        <v>98</v>
      </c>
      <c r="O5" s="1">
        <f t="shared" si="1"/>
        <v>100</v>
      </c>
      <c r="P5" s="1">
        <f t="shared" si="1"/>
        <v>100</v>
      </c>
      <c r="Q5" s="2">
        <f t="shared" si="1"/>
        <v>102</v>
      </c>
      <c r="R5" s="1">
        <f t="shared" si="1"/>
        <v>103</v>
      </c>
      <c r="S5" s="1">
        <f t="shared" si="1"/>
        <v>103</v>
      </c>
      <c r="T5" s="1">
        <f>200-T2-T3-T4</f>
        <v>102</v>
      </c>
      <c r="U5" s="1">
        <f t="shared" si="1"/>
        <v>101</v>
      </c>
      <c r="V5" s="1">
        <f t="shared" si="1"/>
        <v>103</v>
      </c>
      <c r="W5" s="1">
        <f t="shared" si="1"/>
        <v>103</v>
      </c>
      <c r="X5" s="1">
        <f t="shared" si="1"/>
        <v>102</v>
      </c>
      <c r="Y5" s="1">
        <f t="shared" si="1"/>
        <v>101</v>
      </c>
      <c r="Z5" s="1">
        <f t="shared" si="1"/>
        <v>102</v>
      </c>
      <c r="AA5" s="1">
        <f>200-AA2-AA3-AA4</f>
        <v>102</v>
      </c>
      <c r="AB5" s="1">
        <f t="shared" si="1"/>
        <v>101</v>
      </c>
      <c r="AC5" s="1">
        <f t="shared" si="1"/>
        <v>102</v>
      </c>
      <c r="AD5" s="1">
        <f t="shared" si="1"/>
        <v>103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2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0.80500000000000005</v>
      </c>
      <c r="C7" s="1">
        <f t="shared" ref="C7:AD7" si="3">(C5+C2)/C6</f>
        <v>0.80500000000000005</v>
      </c>
      <c r="D7" s="1">
        <f t="shared" si="3"/>
        <v>0.80500000000000005</v>
      </c>
      <c r="E7" s="1">
        <f t="shared" si="3"/>
        <v>0.80500000000000005</v>
      </c>
      <c r="F7" s="1">
        <f t="shared" si="3"/>
        <v>0.80500000000000005</v>
      </c>
      <c r="G7" s="1">
        <f t="shared" si="3"/>
        <v>0.80500000000000005</v>
      </c>
      <c r="H7" s="1">
        <f t="shared" si="3"/>
        <v>0.80500000000000005</v>
      </c>
      <c r="I7" s="1">
        <f t="shared" si="3"/>
        <v>0.80500000000000005</v>
      </c>
      <c r="J7" s="1">
        <f t="shared" si="3"/>
        <v>0.81</v>
      </c>
      <c r="K7" s="1">
        <f t="shared" si="3"/>
        <v>0.81499999999999995</v>
      </c>
      <c r="L7" s="1">
        <f t="shared" si="3"/>
        <v>0.81</v>
      </c>
      <c r="M7" s="1">
        <f t="shared" si="3"/>
        <v>0.81499999999999995</v>
      </c>
      <c r="N7" s="1">
        <f t="shared" si="3"/>
        <v>0.83</v>
      </c>
      <c r="O7" s="1">
        <f t="shared" si="3"/>
        <v>0.84</v>
      </c>
      <c r="P7" s="1">
        <f t="shared" si="3"/>
        <v>0.84</v>
      </c>
      <c r="Q7" s="2">
        <f t="shared" si="3"/>
        <v>0.85</v>
      </c>
      <c r="R7" s="1">
        <f t="shared" si="3"/>
        <v>0.85</v>
      </c>
      <c r="S7" s="1">
        <f t="shared" si="3"/>
        <v>0.85</v>
      </c>
      <c r="T7" s="1">
        <f t="shared" si="3"/>
        <v>0.86</v>
      </c>
      <c r="U7" s="1">
        <f t="shared" si="3"/>
        <v>0.85499999999999998</v>
      </c>
      <c r="V7" s="1">
        <f t="shared" si="3"/>
        <v>0.87</v>
      </c>
      <c r="W7" s="1">
        <f t="shared" si="3"/>
        <v>0.87</v>
      </c>
      <c r="X7" s="1">
        <f t="shared" si="3"/>
        <v>0.86499999999999999</v>
      </c>
      <c r="Y7" s="1">
        <f t="shared" si="3"/>
        <v>0.86</v>
      </c>
      <c r="Z7" s="1">
        <f t="shared" si="3"/>
        <v>0.86499999999999999</v>
      </c>
      <c r="AA7" s="1">
        <f t="shared" si="3"/>
        <v>0.86499999999999999</v>
      </c>
      <c r="AB7" s="1">
        <f t="shared" si="3"/>
        <v>0.86</v>
      </c>
      <c r="AC7" s="1">
        <f t="shared" si="3"/>
        <v>0.86499999999999999</v>
      </c>
      <c r="AD7" s="1">
        <f t="shared" si="3"/>
        <v>0.87</v>
      </c>
    </row>
    <row r="8" spans="1:30" x14ac:dyDescent="0.25">
      <c r="A8" t="s">
        <v>1</v>
      </c>
      <c r="B8" s="1">
        <f>1-B7</f>
        <v>0.19499999999999995</v>
      </c>
      <c r="C8" s="1">
        <f t="shared" ref="C8:AD8" si="4">1-C7</f>
        <v>0.19499999999999995</v>
      </c>
      <c r="D8" s="1">
        <f t="shared" si="4"/>
        <v>0.19499999999999995</v>
      </c>
      <c r="E8" s="1">
        <f t="shared" si="4"/>
        <v>0.19499999999999995</v>
      </c>
      <c r="F8" s="1">
        <f t="shared" si="4"/>
        <v>0.19499999999999995</v>
      </c>
      <c r="G8" s="1">
        <f t="shared" si="4"/>
        <v>0.19499999999999995</v>
      </c>
      <c r="H8" s="1">
        <f t="shared" si="4"/>
        <v>0.19499999999999995</v>
      </c>
      <c r="I8" s="1">
        <f t="shared" si="4"/>
        <v>0.19499999999999995</v>
      </c>
      <c r="J8" s="1">
        <f t="shared" si="4"/>
        <v>0.18999999999999995</v>
      </c>
      <c r="K8" s="1">
        <f t="shared" si="4"/>
        <v>0.18500000000000005</v>
      </c>
      <c r="L8" s="1">
        <f t="shared" si="4"/>
        <v>0.18999999999999995</v>
      </c>
      <c r="M8" s="1">
        <f t="shared" si="4"/>
        <v>0.18500000000000005</v>
      </c>
      <c r="N8" s="1">
        <f t="shared" si="4"/>
        <v>0.17000000000000004</v>
      </c>
      <c r="O8" s="1">
        <f t="shared" si="4"/>
        <v>0.16000000000000003</v>
      </c>
      <c r="P8" s="1">
        <f t="shared" si="4"/>
        <v>0.16000000000000003</v>
      </c>
      <c r="Q8" s="2">
        <f t="shared" si="4"/>
        <v>0.15000000000000002</v>
      </c>
      <c r="R8" s="1">
        <f t="shared" si="4"/>
        <v>0.15000000000000002</v>
      </c>
      <c r="S8" s="1">
        <f t="shared" si="4"/>
        <v>0.15000000000000002</v>
      </c>
      <c r="T8" s="1">
        <f t="shared" si="4"/>
        <v>0.14000000000000001</v>
      </c>
      <c r="U8" s="1">
        <f t="shared" si="4"/>
        <v>0.14500000000000002</v>
      </c>
      <c r="V8" s="1">
        <f t="shared" si="4"/>
        <v>0.13</v>
      </c>
      <c r="W8" s="1">
        <f t="shared" si="4"/>
        <v>0.13</v>
      </c>
      <c r="X8" s="1">
        <f t="shared" si="4"/>
        <v>0.13500000000000001</v>
      </c>
      <c r="Y8" s="1">
        <f t="shared" si="4"/>
        <v>0.14000000000000001</v>
      </c>
      <c r="Z8" s="1">
        <f t="shared" si="4"/>
        <v>0.13500000000000001</v>
      </c>
      <c r="AA8" s="1">
        <f t="shared" si="4"/>
        <v>0.13500000000000001</v>
      </c>
      <c r="AB8" s="1">
        <f t="shared" si="4"/>
        <v>0.14000000000000001</v>
      </c>
      <c r="AC8" s="1">
        <f t="shared" si="4"/>
        <v>0.13500000000000001</v>
      </c>
      <c r="AD8" s="1">
        <f t="shared" si="4"/>
        <v>0.13</v>
      </c>
    </row>
    <row r="9" spans="1:30" x14ac:dyDescent="0.25">
      <c r="A9" t="s">
        <v>52</v>
      </c>
      <c r="B9" s="1">
        <f>B2/(B2+B3)</f>
        <v>0.94444444444444442</v>
      </c>
      <c r="C9" s="1">
        <f t="shared" ref="C9:AD9" si="5">C2/(C2+C3)</f>
        <v>0.94444444444444442</v>
      </c>
      <c r="D9" s="1">
        <f t="shared" si="5"/>
        <v>0.94444444444444442</v>
      </c>
      <c r="E9" s="1">
        <f t="shared" si="5"/>
        <v>0.94444444444444442</v>
      </c>
      <c r="F9" s="1">
        <f t="shared" si="5"/>
        <v>0.94444444444444442</v>
      </c>
      <c r="G9" s="1">
        <f t="shared" si="5"/>
        <v>0.94444444444444442</v>
      </c>
      <c r="H9" s="1">
        <f t="shared" si="5"/>
        <v>0.94444444444444442</v>
      </c>
      <c r="I9" s="1">
        <f t="shared" si="5"/>
        <v>0.94444444444444442</v>
      </c>
      <c r="J9" s="1">
        <f t="shared" si="5"/>
        <v>0.93055555555555558</v>
      </c>
      <c r="K9" s="1">
        <f t="shared" si="5"/>
        <v>0.93055555555555558</v>
      </c>
      <c r="L9" s="1">
        <f t="shared" si="5"/>
        <v>0.93055555555555558</v>
      </c>
      <c r="M9" s="1">
        <f t="shared" si="5"/>
        <v>0.93055555555555558</v>
      </c>
      <c r="N9" s="1">
        <f t="shared" si="5"/>
        <v>0.94444444444444442</v>
      </c>
      <c r="O9" s="1">
        <f t="shared" si="5"/>
        <v>0.94444444444444442</v>
      </c>
      <c r="P9" s="1">
        <f t="shared" si="5"/>
        <v>0.94444444444444442</v>
      </c>
      <c r="Q9" s="2">
        <f t="shared" si="5"/>
        <v>0.94444444444444442</v>
      </c>
      <c r="R9" s="1">
        <f t="shared" si="5"/>
        <v>0.93055555555555558</v>
      </c>
      <c r="S9" s="1">
        <f t="shared" si="5"/>
        <v>0.93055555555555558</v>
      </c>
      <c r="T9" s="1">
        <f t="shared" si="5"/>
        <v>0.97222222222222221</v>
      </c>
      <c r="U9" s="1">
        <f t="shared" si="5"/>
        <v>0.97222222222222221</v>
      </c>
      <c r="V9" s="1">
        <f t="shared" si="5"/>
        <v>0.98611111111111116</v>
      </c>
      <c r="W9" s="1">
        <f t="shared" si="5"/>
        <v>0.98611111111111116</v>
      </c>
      <c r="X9" s="1">
        <f t="shared" si="5"/>
        <v>0.98611111111111116</v>
      </c>
      <c r="Y9" s="1">
        <f t="shared" si="5"/>
        <v>0.98611111111111116</v>
      </c>
      <c r="Z9" s="1">
        <f t="shared" si="5"/>
        <v>0.98611111111111116</v>
      </c>
      <c r="AA9" s="1">
        <f t="shared" si="5"/>
        <v>0.98611111111111116</v>
      </c>
      <c r="AB9" s="1">
        <f t="shared" si="5"/>
        <v>0.98611111111111116</v>
      </c>
      <c r="AC9" s="1">
        <f t="shared" si="5"/>
        <v>0.98611111111111116</v>
      </c>
      <c r="AD9" s="1">
        <f t="shared" si="5"/>
        <v>0.98611111111111116</v>
      </c>
    </row>
    <row r="10" spans="1:30" x14ac:dyDescent="0.25">
      <c r="A10" t="s">
        <v>53</v>
      </c>
      <c r="B10" s="1">
        <f>B2/(B2+B4)</f>
        <v>0.66019417475728159</v>
      </c>
      <c r="C10" s="1">
        <f t="shared" ref="C10:AD10" si="6">C2/(C2+C4)</f>
        <v>0.66019417475728159</v>
      </c>
      <c r="D10" s="1">
        <f t="shared" si="6"/>
        <v>0.66019417475728159</v>
      </c>
      <c r="E10" s="1">
        <f t="shared" si="6"/>
        <v>0.66019417475728159</v>
      </c>
      <c r="F10" s="1">
        <f t="shared" si="6"/>
        <v>0.66019417475728159</v>
      </c>
      <c r="G10" s="1">
        <f t="shared" si="6"/>
        <v>0.66019417475728159</v>
      </c>
      <c r="H10" s="1">
        <f t="shared" si="6"/>
        <v>0.66019417475728159</v>
      </c>
      <c r="I10" s="1">
        <f t="shared" si="6"/>
        <v>0.66019417475728159</v>
      </c>
      <c r="J10" s="1">
        <f t="shared" si="6"/>
        <v>0.67</v>
      </c>
      <c r="K10" s="1">
        <f t="shared" si="6"/>
        <v>0.6767676767676768</v>
      </c>
      <c r="L10" s="1">
        <f t="shared" si="6"/>
        <v>0.67</v>
      </c>
      <c r="M10" s="1">
        <f t="shared" si="6"/>
        <v>0.6767676767676768</v>
      </c>
      <c r="N10" s="1">
        <f t="shared" si="6"/>
        <v>0.69387755102040816</v>
      </c>
      <c r="O10" s="1">
        <f t="shared" si="6"/>
        <v>0.70833333333333337</v>
      </c>
      <c r="P10" s="1">
        <f t="shared" si="6"/>
        <v>0.70833333333333337</v>
      </c>
      <c r="Q10" s="2">
        <f t="shared" si="6"/>
        <v>0.72340425531914898</v>
      </c>
      <c r="R10" s="1">
        <f t="shared" si="6"/>
        <v>0.72826086956521741</v>
      </c>
      <c r="S10" s="1">
        <f t="shared" si="6"/>
        <v>0.72826086956521741</v>
      </c>
      <c r="T10" s="1">
        <f t="shared" si="6"/>
        <v>0.72916666666666663</v>
      </c>
      <c r="U10" s="1">
        <f t="shared" si="6"/>
        <v>0.72164948453608246</v>
      </c>
      <c r="V10" s="1">
        <f t="shared" si="6"/>
        <v>0.73958333333333337</v>
      </c>
      <c r="W10" s="1">
        <f t="shared" si="6"/>
        <v>0.73958333333333337</v>
      </c>
      <c r="X10" s="1">
        <f t="shared" si="6"/>
        <v>0.73195876288659789</v>
      </c>
      <c r="Y10" s="1">
        <f t="shared" si="6"/>
        <v>0.72448979591836737</v>
      </c>
      <c r="Z10" s="1">
        <f t="shared" si="6"/>
        <v>0.73195876288659789</v>
      </c>
      <c r="AA10" s="1">
        <f t="shared" si="6"/>
        <v>0.73195876288659789</v>
      </c>
      <c r="AB10" s="1">
        <f t="shared" si="6"/>
        <v>0.72448979591836737</v>
      </c>
      <c r="AC10" s="1">
        <f t="shared" si="6"/>
        <v>0.73195876288659789</v>
      </c>
      <c r="AD10" s="1">
        <f t="shared" si="6"/>
        <v>0.73958333333333337</v>
      </c>
    </row>
    <row r="11" spans="1:30" x14ac:dyDescent="0.25">
      <c r="A11" t="s">
        <v>13</v>
      </c>
      <c r="B11" s="1">
        <f>2*B9*B10/(B9+B10)</f>
        <v>0.77714285714285714</v>
      </c>
      <c r="C11" s="1">
        <f t="shared" ref="C11:AD11" si="7">2*C9*C10/(C9+C10)</f>
        <v>0.77714285714285714</v>
      </c>
      <c r="D11" s="1">
        <f t="shared" si="7"/>
        <v>0.77714285714285714</v>
      </c>
      <c r="E11" s="1">
        <f t="shared" si="7"/>
        <v>0.77714285714285714</v>
      </c>
      <c r="F11" s="1">
        <f t="shared" si="7"/>
        <v>0.77714285714285714</v>
      </c>
      <c r="G11" s="1">
        <f t="shared" si="7"/>
        <v>0.77714285714285714</v>
      </c>
      <c r="H11" s="1">
        <f t="shared" si="7"/>
        <v>0.77714285714285714</v>
      </c>
      <c r="I11" s="1">
        <f t="shared" si="7"/>
        <v>0.77714285714285714</v>
      </c>
      <c r="J11" s="1">
        <f t="shared" si="7"/>
        <v>0.77906976744186052</v>
      </c>
      <c r="K11" s="1">
        <f t="shared" si="7"/>
        <v>0.78362573099415211</v>
      </c>
      <c r="L11" s="1">
        <f t="shared" si="7"/>
        <v>0.77906976744186052</v>
      </c>
      <c r="M11" s="1">
        <f t="shared" si="7"/>
        <v>0.78362573099415211</v>
      </c>
      <c r="N11" s="1">
        <f t="shared" si="7"/>
        <v>0.79999999999999993</v>
      </c>
      <c r="O11" s="1">
        <f t="shared" si="7"/>
        <v>0.80952380952380965</v>
      </c>
      <c r="P11" s="1">
        <f t="shared" si="7"/>
        <v>0.80952380952380965</v>
      </c>
      <c r="Q11" s="2">
        <f t="shared" si="7"/>
        <v>0.81927710843373491</v>
      </c>
      <c r="R11" s="1">
        <f t="shared" si="7"/>
        <v>0.81707317073170727</v>
      </c>
      <c r="S11" s="1">
        <f t="shared" si="7"/>
        <v>0.81707317073170727</v>
      </c>
      <c r="T11" s="1">
        <f t="shared" si="7"/>
        <v>0.83333333333333326</v>
      </c>
      <c r="U11" s="1">
        <f t="shared" si="7"/>
        <v>0.82840236686390523</v>
      </c>
      <c r="V11" s="1">
        <f t="shared" si="7"/>
        <v>0.84523809523809523</v>
      </c>
      <c r="W11" s="1">
        <f t="shared" si="7"/>
        <v>0.84523809523809523</v>
      </c>
      <c r="X11" s="1">
        <f t="shared" si="7"/>
        <v>0.84023668639053251</v>
      </c>
      <c r="Y11" s="1">
        <f t="shared" si="7"/>
        <v>0.83529411764705885</v>
      </c>
      <c r="Z11" s="1">
        <f t="shared" si="7"/>
        <v>0.84023668639053251</v>
      </c>
      <c r="AA11" s="1">
        <f t="shared" si="7"/>
        <v>0.84023668639053251</v>
      </c>
      <c r="AB11" s="1">
        <f t="shared" si="7"/>
        <v>0.83529411764705885</v>
      </c>
      <c r="AC11" s="1">
        <f t="shared" si="7"/>
        <v>0.84023668639053251</v>
      </c>
      <c r="AD11" s="1">
        <f t="shared" si="7"/>
        <v>0.84523809523809523</v>
      </c>
    </row>
    <row r="12" spans="1:30" x14ac:dyDescent="0.25">
      <c r="A12" t="s">
        <v>14</v>
      </c>
      <c r="B12" s="1">
        <f>B5/(B4+B5)</f>
        <v>0.7265625</v>
      </c>
      <c r="C12" s="1">
        <f t="shared" ref="C12:AD12" si="8">C5/(C4+C5)</f>
        <v>0.7265625</v>
      </c>
      <c r="D12" s="1">
        <f t="shared" si="8"/>
        <v>0.7265625</v>
      </c>
      <c r="E12" s="1">
        <f t="shared" si="8"/>
        <v>0.7265625</v>
      </c>
      <c r="F12" s="1">
        <f t="shared" si="8"/>
        <v>0.7265625</v>
      </c>
      <c r="G12" s="1">
        <f t="shared" si="8"/>
        <v>0.7265625</v>
      </c>
      <c r="H12" s="1">
        <f t="shared" si="8"/>
        <v>0.7265625</v>
      </c>
      <c r="I12" s="1">
        <f t="shared" si="8"/>
        <v>0.7265625</v>
      </c>
      <c r="J12" s="1">
        <f t="shared" si="8"/>
        <v>0.7421875</v>
      </c>
      <c r="K12" s="1">
        <f t="shared" si="8"/>
        <v>0.75</v>
      </c>
      <c r="L12" s="1">
        <f t="shared" si="8"/>
        <v>0.7421875</v>
      </c>
      <c r="M12" s="1">
        <f t="shared" si="8"/>
        <v>0.75</v>
      </c>
      <c r="N12" s="1">
        <f t="shared" si="8"/>
        <v>0.765625</v>
      </c>
      <c r="O12" s="1">
        <f t="shared" si="8"/>
        <v>0.78125</v>
      </c>
      <c r="P12" s="1">
        <f t="shared" si="8"/>
        <v>0.78125</v>
      </c>
      <c r="Q12" s="2">
        <f t="shared" si="8"/>
        <v>0.796875</v>
      </c>
      <c r="R12" s="1">
        <f t="shared" si="8"/>
        <v>0.8046875</v>
      </c>
      <c r="S12" s="1">
        <f t="shared" si="8"/>
        <v>0.8046875</v>
      </c>
      <c r="T12" s="1">
        <f t="shared" si="8"/>
        <v>0.796875</v>
      </c>
      <c r="U12" s="1">
        <f t="shared" si="8"/>
        <v>0.7890625</v>
      </c>
      <c r="V12" s="1">
        <f t="shared" si="8"/>
        <v>0.8046875</v>
      </c>
      <c r="W12" s="1">
        <f t="shared" si="8"/>
        <v>0.8046875</v>
      </c>
      <c r="X12" s="1">
        <f t="shared" si="8"/>
        <v>0.796875</v>
      </c>
      <c r="Y12" s="1">
        <f t="shared" si="8"/>
        <v>0.7890625</v>
      </c>
      <c r="Z12" s="1">
        <f t="shared" si="8"/>
        <v>0.796875</v>
      </c>
      <c r="AA12" s="1">
        <f t="shared" si="8"/>
        <v>0.796875</v>
      </c>
      <c r="AB12" s="1">
        <f t="shared" si="8"/>
        <v>0.7890625</v>
      </c>
      <c r="AC12" s="1">
        <f t="shared" si="8"/>
        <v>0.796875</v>
      </c>
      <c r="AD12" s="1">
        <f t="shared" si="8"/>
        <v>0.8046875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Act-Pass_svm</vt:lpstr>
      <vt:lpstr>Act-Fail_svm</vt:lpstr>
      <vt:lpstr>Act-Dropout_svm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2024-07-30T15:19:44Z</dcterms:modified>
</cp:coreProperties>
</file>