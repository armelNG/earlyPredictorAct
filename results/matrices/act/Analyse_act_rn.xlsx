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matrices\act\"/>
    </mc:Choice>
  </mc:AlternateContent>
  <xr:revisionPtr revIDLastSave="0" documentId="13_ncr:1_{E3B38F68-0869-40F2-85D7-8CBD85820492}" xr6:coauthVersionLast="47" xr6:coauthVersionMax="47" xr10:uidLastSave="{00000000-0000-0000-0000-000000000000}"/>
  <bookViews>
    <workbookView xWindow="29490" yWindow="225" windowWidth="23055" windowHeight="7365" activeTab="2" xr2:uid="{26EEB946-AE10-4C80-93AD-87C66CBD13A1}"/>
  </bookViews>
  <sheets>
    <sheet name="Act-Pass_knn" sheetId="1" r:id="rId1"/>
    <sheet name="Act-Fail_knn" sheetId="5" r:id="rId2"/>
    <sheet name="Act-Dropout_knn" sheetId="4" r:id="rId3"/>
    <sheet name="Feuil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4" l="1"/>
  <c r="V5" i="5"/>
  <c r="AA5" i="1"/>
  <c r="X5" i="1"/>
  <c r="T5" i="1"/>
  <c r="AC5" i="1"/>
  <c r="B5" i="4"/>
  <c r="B6" i="4" s="1"/>
  <c r="B7" i="4" s="1"/>
  <c r="B8" i="4" s="1"/>
  <c r="C5" i="4"/>
  <c r="C6" i="4" s="1"/>
  <c r="C7" i="4" s="1"/>
  <c r="C8" i="4" s="1"/>
  <c r="D5" i="4"/>
  <c r="D12" i="4" s="1"/>
  <c r="E5" i="4"/>
  <c r="E12" i="4" s="1"/>
  <c r="F5" i="4"/>
  <c r="F12" i="4" s="1"/>
  <c r="G5" i="4"/>
  <c r="G12" i="4" s="1"/>
  <c r="B5" i="1"/>
  <c r="C5" i="1"/>
  <c r="C12" i="1" s="1"/>
  <c r="D5" i="1"/>
  <c r="D6" i="1" s="1"/>
  <c r="E5" i="1"/>
  <c r="E6" i="1" s="1"/>
  <c r="F5" i="1"/>
  <c r="F12" i="1" s="1"/>
  <c r="G5" i="1"/>
  <c r="G6" i="1" s="1"/>
  <c r="G7" i="1" s="1"/>
  <c r="G8" i="1" s="1"/>
  <c r="B5" i="5"/>
  <c r="B12" i="5" s="1"/>
  <c r="C5" i="5"/>
  <c r="C6" i="5" s="1"/>
  <c r="C7" i="5" s="1"/>
  <c r="C8" i="5" s="1"/>
  <c r="D5" i="5"/>
  <c r="E5" i="5"/>
  <c r="E12" i="5" s="1"/>
  <c r="F5" i="5"/>
  <c r="F12" i="5" s="1"/>
  <c r="G5" i="5"/>
  <c r="G12" i="5" s="1"/>
  <c r="AD10" i="5"/>
  <c r="AC10" i="5"/>
  <c r="AC11" i="5" s="1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D5" i="5"/>
  <c r="AD12" i="5" s="1"/>
  <c r="AC5" i="5"/>
  <c r="AC12" i="5" s="1"/>
  <c r="AB5" i="5"/>
  <c r="AB12" i="5" s="1"/>
  <c r="AA5" i="5"/>
  <c r="AA6" i="5" s="1"/>
  <c r="Z5" i="5"/>
  <c r="Z12" i="5" s="1"/>
  <c r="Y5" i="5"/>
  <c r="Y12" i="5" s="1"/>
  <c r="X5" i="5"/>
  <c r="X12" i="5" s="1"/>
  <c r="W5" i="5"/>
  <c r="W6" i="5" s="1"/>
  <c r="V6" i="5"/>
  <c r="U5" i="5"/>
  <c r="U6" i="5" s="1"/>
  <c r="T5" i="5"/>
  <c r="T6" i="5" s="1"/>
  <c r="S5" i="5"/>
  <c r="S12" i="5" s="1"/>
  <c r="R5" i="5"/>
  <c r="R6" i="5" s="1"/>
  <c r="Q5" i="5"/>
  <c r="Q6" i="5" s="1"/>
  <c r="P5" i="5"/>
  <c r="P6" i="5" s="1"/>
  <c r="P7" i="5" s="1"/>
  <c r="P8" i="5" s="1"/>
  <c r="O5" i="5"/>
  <c r="O6" i="5" s="1"/>
  <c r="O7" i="5" s="1"/>
  <c r="O8" i="5" s="1"/>
  <c r="N5" i="5"/>
  <c r="N12" i="5" s="1"/>
  <c r="M5" i="5"/>
  <c r="M6" i="5" s="1"/>
  <c r="L5" i="5"/>
  <c r="L12" i="5" s="1"/>
  <c r="K5" i="5"/>
  <c r="K12" i="5" s="1"/>
  <c r="J5" i="5"/>
  <c r="J6" i="5" s="1"/>
  <c r="J7" i="5" s="1"/>
  <c r="J8" i="5" s="1"/>
  <c r="I5" i="5"/>
  <c r="I12" i="5" s="1"/>
  <c r="H5" i="5"/>
  <c r="H12" i="5" s="1"/>
  <c r="AD10" i="4"/>
  <c r="AC10" i="4"/>
  <c r="AB10" i="4"/>
  <c r="AA10" i="4"/>
  <c r="AA11" i="4" s="1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D5" i="4"/>
  <c r="AD6" i="4" s="1"/>
  <c r="AC5" i="4"/>
  <c r="AC6" i="4" s="1"/>
  <c r="AC7" i="4" s="1"/>
  <c r="AC8" i="4" s="1"/>
  <c r="AB5" i="4"/>
  <c r="AB6" i="4" s="1"/>
  <c r="AB7" i="4" s="1"/>
  <c r="AB8" i="4" s="1"/>
  <c r="AA5" i="4"/>
  <c r="AA6" i="4" s="1"/>
  <c r="Z5" i="4"/>
  <c r="Z12" i="4" s="1"/>
  <c r="Y5" i="4"/>
  <c r="Y12" i="4" s="1"/>
  <c r="X5" i="4"/>
  <c r="X12" i="4" s="1"/>
  <c r="W12" i="4"/>
  <c r="V5" i="4"/>
  <c r="V12" i="4" s="1"/>
  <c r="U5" i="4"/>
  <c r="U12" i="4" s="1"/>
  <c r="T5" i="4"/>
  <c r="T6" i="4" s="1"/>
  <c r="S5" i="4"/>
  <c r="S6" i="4" s="1"/>
  <c r="R5" i="4"/>
  <c r="R6" i="4" s="1"/>
  <c r="Q5" i="4"/>
  <c r="Q12" i="4" s="1"/>
  <c r="P5" i="4"/>
  <c r="P6" i="4" s="1"/>
  <c r="O5" i="4"/>
  <c r="O12" i="4" s="1"/>
  <c r="N5" i="4"/>
  <c r="M5" i="4"/>
  <c r="M6" i="4" s="1"/>
  <c r="M7" i="4" s="1"/>
  <c r="M8" i="4" s="1"/>
  <c r="L5" i="4"/>
  <c r="L6" i="4" s="1"/>
  <c r="L7" i="4" s="1"/>
  <c r="L8" i="4" s="1"/>
  <c r="K5" i="4"/>
  <c r="K6" i="4" s="1"/>
  <c r="K7" i="4" s="1"/>
  <c r="K8" i="4" s="1"/>
  <c r="J5" i="4"/>
  <c r="J12" i="4" s="1"/>
  <c r="I5" i="4"/>
  <c r="H5" i="4"/>
  <c r="H6" i="4" s="1"/>
  <c r="Q11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B11" i="1"/>
  <c r="B12" i="1"/>
  <c r="B10" i="1"/>
  <c r="B9" i="1"/>
  <c r="AA12" i="1"/>
  <c r="T12" i="1"/>
  <c r="I5" i="1"/>
  <c r="I6" i="1" s="1"/>
  <c r="J5" i="1"/>
  <c r="J6" i="1" s="1"/>
  <c r="K5" i="1"/>
  <c r="K6" i="1" s="1"/>
  <c r="L5" i="1"/>
  <c r="L6" i="1" s="1"/>
  <c r="M5" i="1"/>
  <c r="M12" i="1" s="1"/>
  <c r="N5" i="1"/>
  <c r="N6" i="1" s="1"/>
  <c r="O5" i="1"/>
  <c r="O12" i="1" s="1"/>
  <c r="P5" i="1"/>
  <c r="P6" i="1" s="1"/>
  <c r="Q5" i="1"/>
  <c r="Q6" i="1" s="1"/>
  <c r="R5" i="1"/>
  <c r="R6" i="1" s="1"/>
  <c r="S5" i="1"/>
  <c r="S6" i="1" s="1"/>
  <c r="U5" i="1"/>
  <c r="U6" i="1" s="1"/>
  <c r="V5" i="1"/>
  <c r="V6" i="1" s="1"/>
  <c r="W5" i="1"/>
  <c r="W6" i="1" s="1"/>
  <c r="X6" i="1"/>
  <c r="Y5" i="1"/>
  <c r="Z5" i="1"/>
  <c r="Z6" i="1" s="1"/>
  <c r="AB5" i="1"/>
  <c r="AB12" i="1" s="1"/>
  <c r="AC6" i="1"/>
  <c r="AD5" i="1"/>
  <c r="AD6" i="1" s="1"/>
  <c r="H5" i="1"/>
  <c r="H6" i="1" s="1"/>
  <c r="B6" i="1"/>
  <c r="B7" i="1" s="1"/>
  <c r="B8" i="1" s="1"/>
  <c r="B11" i="4" l="1"/>
  <c r="V11" i="5"/>
  <c r="M11" i="5"/>
  <c r="K11" i="5"/>
  <c r="D11" i="5"/>
  <c r="AA6" i="1"/>
  <c r="AA11" i="1"/>
  <c r="P11" i="1"/>
  <c r="N11" i="1"/>
  <c r="L11" i="1"/>
  <c r="I11" i="1"/>
  <c r="D12" i="1"/>
  <c r="C12" i="4"/>
  <c r="B12" i="4"/>
  <c r="AD11" i="5"/>
  <c r="P12" i="5"/>
  <c r="W11" i="1"/>
  <c r="L7" i="1"/>
  <c r="L8" i="1" s="1"/>
  <c r="J11" i="1"/>
  <c r="D6" i="4"/>
  <c r="D7" i="4" s="1"/>
  <c r="D8" i="4" s="1"/>
  <c r="AD11" i="1"/>
  <c r="AA7" i="1"/>
  <c r="AA8" i="1" s="1"/>
  <c r="Z7" i="1"/>
  <c r="Z8" i="1" s="1"/>
  <c r="Z11" i="1"/>
  <c r="Y11" i="1"/>
  <c r="X7" i="1"/>
  <c r="X8" i="1" s="1"/>
  <c r="W12" i="1"/>
  <c r="V11" i="1"/>
  <c r="S11" i="1"/>
  <c r="S7" i="1"/>
  <c r="S8" i="1" s="1"/>
  <c r="O11" i="1"/>
  <c r="N12" i="1"/>
  <c r="L12" i="1"/>
  <c r="K7" i="1"/>
  <c r="K8" i="1" s="1"/>
  <c r="G12" i="1"/>
  <c r="F11" i="1"/>
  <c r="E11" i="1"/>
  <c r="D11" i="1"/>
  <c r="Y6" i="4"/>
  <c r="Y7" i="4" s="1"/>
  <c r="Y8" i="4" s="1"/>
  <c r="X11" i="4"/>
  <c r="W6" i="4"/>
  <c r="W7" i="4" s="1"/>
  <c r="W8" i="4" s="1"/>
  <c r="U11" i="4"/>
  <c r="K11" i="4"/>
  <c r="I11" i="4"/>
  <c r="I6" i="4"/>
  <c r="I7" i="4" s="1"/>
  <c r="I8" i="4" s="1"/>
  <c r="I12" i="4"/>
  <c r="F11" i="4"/>
  <c r="F6" i="4"/>
  <c r="F7" i="4" s="1"/>
  <c r="F8" i="4" s="1"/>
  <c r="E6" i="4"/>
  <c r="E7" i="4" s="1"/>
  <c r="E8" i="4" s="1"/>
  <c r="G6" i="4"/>
  <c r="G7" i="4" s="1"/>
  <c r="G8" i="4" s="1"/>
  <c r="AA11" i="5"/>
  <c r="Z11" i="5"/>
  <c r="Y6" i="5"/>
  <c r="Y7" i="5" s="1"/>
  <c r="Y8" i="5" s="1"/>
  <c r="X6" i="5"/>
  <c r="X7" i="5" s="1"/>
  <c r="X8" i="5" s="1"/>
  <c r="W11" i="5"/>
  <c r="S6" i="5"/>
  <c r="S7" i="5" s="1"/>
  <c r="S8" i="5" s="1"/>
  <c r="R11" i="5"/>
  <c r="O11" i="5"/>
  <c r="L11" i="5"/>
  <c r="G6" i="5"/>
  <c r="G7" i="5" s="1"/>
  <c r="G8" i="5" s="1"/>
  <c r="AD12" i="1"/>
  <c r="AD7" i="1"/>
  <c r="AD8" i="1" s="1"/>
  <c r="AC11" i="1"/>
  <c r="AC12" i="1"/>
  <c r="AC7" i="1"/>
  <c r="AC8" i="1" s="1"/>
  <c r="AB11" i="1"/>
  <c r="AB6" i="1"/>
  <c r="AB7" i="1" s="1"/>
  <c r="AB8" i="1" s="1"/>
  <c r="Z12" i="1"/>
  <c r="Y6" i="1"/>
  <c r="Y7" i="1" s="1"/>
  <c r="Y8" i="1" s="1"/>
  <c r="Y12" i="1"/>
  <c r="X11" i="1"/>
  <c r="X12" i="1"/>
  <c r="W7" i="1"/>
  <c r="W8" i="1" s="1"/>
  <c r="V7" i="1"/>
  <c r="V8" i="1" s="1"/>
  <c r="V12" i="1"/>
  <c r="U11" i="1"/>
  <c r="U7" i="1"/>
  <c r="U8" i="1" s="1"/>
  <c r="U12" i="1"/>
  <c r="T11" i="1"/>
  <c r="T6" i="1"/>
  <c r="T7" i="1" s="1"/>
  <c r="T8" i="1" s="1"/>
  <c r="S12" i="1"/>
  <c r="R11" i="1"/>
  <c r="R12" i="1"/>
  <c r="R7" i="1"/>
  <c r="R8" i="1" s="1"/>
  <c r="Q12" i="1"/>
  <c r="Q7" i="1"/>
  <c r="Q8" i="1" s="1"/>
  <c r="P12" i="1"/>
  <c r="P7" i="1"/>
  <c r="P8" i="1" s="1"/>
  <c r="O6" i="1"/>
  <c r="O7" i="1" s="1"/>
  <c r="O8" i="1" s="1"/>
  <c r="N7" i="1"/>
  <c r="N8" i="1" s="1"/>
  <c r="M11" i="1"/>
  <c r="M6" i="1"/>
  <c r="M7" i="1" s="1"/>
  <c r="M8" i="1" s="1"/>
  <c r="K11" i="1"/>
  <c r="K12" i="1"/>
  <c r="J12" i="1"/>
  <c r="J7" i="1"/>
  <c r="J8" i="1" s="1"/>
  <c r="I12" i="1"/>
  <c r="I7" i="1"/>
  <c r="I8" i="1" s="1"/>
  <c r="H11" i="1"/>
  <c r="H7" i="1"/>
  <c r="H8" i="1" s="1"/>
  <c r="H12" i="1"/>
  <c r="G11" i="1"/>
  <c r="F6" i="1"/>
  <c r="F7" i="1" s="1"/>
  <c r="F8" i="1" s="1"/>
  <c r="E12" i="1"/>
  <c r="E7" i="1"/>
  <c r="E8" i="1" s="1"/>
  <c r="D7" i="1"/>
  <c r="D8" i="1" s="1"/>
  <c r="C11" i="1"/>
  <c r="C6" i="1"/>
  <c r="C7" i="1" s="1"/>
  <c r="C8" i="1" s="1"/>
  <c r="AD6" i="5"/>
  <c r="AD7" i="5" s="1"/>
  <c r="AD8" i="5" s="1"/>
  <c r="AC6" i="5"/>
  <c r="AC7" i="5" s="1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 s="1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 s="1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W12" i="5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 s="1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</calcChain>
</file>

<file path=xl/sharedStrings.xml><?xml version="1.0" encoding="utf-8"?>
<sst xmlns="http://schemas.openxmlformats.org/spreadsheetml/2006/main" count="6071" uniqueCount="54">
  <si>
    <t>Accuracy</t>
  </si>
  <si>
    <t>Erreur</t>
  </si>
  <si>
    <t>Dropout</t>
  </si>
  <si>
    <t>Pass</t>
  </si>
  <si>
    <t>Fail</t>
  </si>
  <si>
    <t>ID_Student</t>
  </si>
  <si>
    <t>code_etudiant</t>
  </si>
  <si>
    <t>Resultat_reel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</si>
  <si>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</si>
  <si>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</si>
  <si>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</si>
  <si>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</si>
  <si>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</si>
  <si>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</si>
  <si>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</si>
  <si>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</si>
  <si>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</si>
  <si>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</si>
  <si>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</si>
  <si>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</si>
  <si>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</si>
  <si>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</si>
  <si>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</si>
  <si>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</si>
  <si>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</si>
  <si>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</si>
  <si>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</si>
  <si>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</si>
  <si>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</si>
  <si>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</si>
  <si>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</si>
  <si>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</si>
  <si>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</si>
  <si>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</si>
  <si>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</si>
  <si>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</si>
  <si>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</si>
  <si>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</si>
  <si>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</si>
  <si>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</si>
  <si>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</si>
  <si>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</si>
  <si>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</si>
  <si>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</si>
  <si>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</si>
  <si>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</si>
  <si>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</si>
  <si>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</si>
  <si>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</si>
  <si>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</si>
  <si>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</si>
  <si>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</si>
  <si>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Recall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</si>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</sst>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'Act-Pass_knn'!$A$7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'Act-Pass_knn'!$B$7:$AD$7</c:f>
              <c:numCache>
                <c:formatCode>General</c:formatCode>
                <c:ptCount val="29"/>
                <c:pt idx="0">
                  <c:v>0.875</c:v>
                </c:pt>
                <c:pt idx="1">
                  <c:v>0.875</c:v>
                </c:pt>
                <c:pt idx="2">
                  <c:v>0.88</c:v>
                </c:pt>
                <c:pt idx="3">
                  <c:v>0.88</c:v>
                </c:pt>
                <c:pt idx="4">
                  <c:v>0.87</c:v>
                </c:pt>
                <c:pt idx="5">
                  <c:v>0.88</c:v>
                </c:pt>
                <c:pt idx="6">
                  <c:v>0.875</c:v>
                </c:pt>
                <c:pt idx="7">
                  <c:v>0.875</c:v>
                </c:pt>
                <c:pt idx="8">
                  <c:v>0.85</c:v>
                </c:pt>
                <c:pt idx="9">
                  <c:v>0.86499999999999999</c:v>
                </c:pt>
                <c:pt idx="10">
                  <c:v>0.85499999999999998</c:v>
                </c:pt>
                <c:pt idx="11">
                  <c:v>0.875</c:v>
                </c:pt>
                <c:pt idx="12">
                  <c:v>0.89</c:v>
                </c:pt>
                <c:pt idx="13">
                  <c:v>0.89</c:v>
                </c:pt>
                <c:pt idx="14">
                  <c:v>0.89</c:v>
                </c:pt>
                <c:pt idx="15">
                  <c:v>0.89</c:v>
                </c:pt>
                <c:pt idx="16">
                  <c:v>0.9</c:v>
                </c:pt>
                <c:pt idx="17">
                  <c:v>0.89</c:v>
                </c:pt>
                <c:pt idx="18">
                  <c:v>0.91500000000000004</c:v>
                </c:pt>
                <c:pt idx="19">
                  <c:v>0.91500000000000004</c:v>
                </c:pt>
                <c:pt idx="20">
                  <c:v>0.92500000000000004</c:v>
                </c:pt>
                <c:pt idx="21">
                  <c:v>0.92500000000000004</c:v>
                </c:pt>
                <c:pt idx="22">
                  <c:v>0.92</c:v>
                </c:pt>
                <c:pt idx="23">
                  <c:v>0.92500000000000004</c:v>
                </c:pt>
                <c:pt idx="24">
                  <c:v>0.92500000000000004</c:v>
                </c:pt>
                <c:pt idx="25">
                  <c:v>0.93500000000000005</c:v>
                </c:pt>
                <c:pt idx="26">
                  <c:v>0.94</c:v>
                </c:pt>
                <c:pt idx="27">
                  <c:v>0.93500000000000005</c:v>
                </c:pt>
                <c:pt idx="28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'Act-Pass_knn'!$A$9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'Act-Pass_knn'!$B$9:$AD$9</c:f>
              <c:numCache>
                <c:formatCode>General</c:formatCode>
                <c:ptCount val="29"/>
                <c:pt idx="0">
                  <c:v>0.88297872340425532</c:v>
                </c:pt>
                <c:pt idx="1">
                  <c:v>0.88297872340425532</c:v>
                </c:pt>
                <c:pt idx="2">
                  <c:v>0.8936170212765957</c:v>
                </c:pt>
                <c:pt idx="3">
                  <c:v>0.8936170212765957</c:v>
                </c:pt>
                <c:pt idx="4">
                  <c:v>0.8936170212765957</c:v>
                </c:pt>
                <c:pt idx="5">
                  <c:v>0.8936170212765957</c:v>
                </c:pt>
                <c:pt idx="6">
                  <c:v>0.8936170212765957</c:v>
                </c:pt>
                <c:pt idx="7">
                  <c:v>0.9042553191489362</c:v>
                </c:pt>
                <c:pt idx="8">
                  <c:v>0.92553191489361697</c:v>
                </c:pt>
                <c:pt idx="9">
                  <c:v>0.91489361702127658</c:v>
                </c:pt>
                <c:pt idx="10">
                  <c:v>0.93617021276595747</c:v>
                </c:pt>
                <c:pt idx="11">
                  <c:v>0.94680851063829785</c:v>
                </c:pt>
                <c:pt idx="12">
                  <c:v>0.94680851063829785</c:v>
                </c:pt>
                <c:pt idx="13">
                  <c:v>0.94680851063829785</c:v>
                </c:pt>
                <c:pt idx="14">
                  <c:v>0.93617021276595747</c:v>
                </c:pt>
                <c:pt idx="15">
                  <c:v>0.93617021276595747</c:v>
                </c:pt>
                <c:pt idx="16">
                  <c:v>0.95744680851063835</c:v>
                </c:pt>
                <c:pt idx="17">
                  <c:v>0.94680851063829785</c:v>
                </c:pt>
                <c:pt idx="18">
                  <c:v>0.94680851063829785</c:v>
                </c:pt>
                <c:pt idx="19">
                  <c:v>0.95744680851063835</c:v>
                </c:pt>
                <c:pt idx="20">
                  <c:v>0.96808510638297873</c:v>
                </c:pt>
                <c:pt idx="21">
                  <c:v>0.96808510638297873</c:v>
                </c:pt>
                <c:pt idx="22">
                  <c:v>0.96808510638297873</c:v>
                </c:pt>
                <c:pt idx="23">
                  <c:v>0.96808510638297873</c:v>
                </c:pt>
                <c:pt idx="24">
                  <c:v>0.96808510638297873</c:v>
                </c:pt>
                <c:pt idx="25">
                  <c:v>0.96808510638297873</c:v>
                </c:pt>
                <c:pt idx="26">
                  <c:v>0.95744680851063835</c:v>
                </c:pt>
                <c:pt idx="27">
                  <c:v>0.96808510638297873</c:v>
                </c:pt>
                <c:pt idx="28">
                  <c:v>0.94680851063829785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'Act-Pass_knn'!$A$10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'Act-Pass_knn'!$B$10:$AD$10</c:f>
              <c:numCache>
                <c:formatCode>General</c:formatCode>
                <c:ptCount val="29"/>
                <c:pt idx="0">
                  <c:v>0.85567010309278346</c:v>
                </c:pt>
                <c:pt idx="1">
                  <c:v>0.85567010309278346</c:v>
                </c:pt>
                <c:pt idx="2">
                  <c:v>0.8571428571428571</c:v>
                </c:pt>
                <c:pt idx="3">
                  <c:v>0.8571428571428571</c:v>
                </c:pt>
                <c:pt idx="4">
                  <c:v>0.84</c:v>
                </c:pt>
                <c:pt idx="5">
                  <c:v>0.8571428571428571</c:v>
                </c:pt>
                <c:pt idx="6">
                  <c:v>0.84848484848484851</c:v>
                </c:pt>
                <c:pt idx="7">
                  <c:v>0.84158415841584155</c:v>
                </c:pt>
                <c:pt idx="8">
                  <c:v>0.79090909090909089</c:v>
                </c:pt>
                <c:pt idx="9">
                  <c:v>0.81904761904761902</c:v>
                </c:pt>
                <c:pt idx="10">
                  <c:v>0.7927927927927928</c:v>
                </c:pt>
                <c:pt idx="11">
                  <c:v>0.8165137614678899</c:v>
                </c:pt>
                <c:pt idx="12">
                  <c:v>0.839622641509434</c:v>
                </c:pt>
                <c:pt idx="13">
                  <c:v>0.839622641509434</c:v>
                </c:pt>
                <c:pt idx="14">
                  <c:v>0.84615384615384615</c:v>
                </c:pt>
                <c:pt idx="15">
                  <c:v>0.84615384615384615</c:v>
                </c:pt>
                <c:pt idx="16">
                  <c:v>0.84905660377358494</c:v>
                </c:pt>
                <c:pt idx="17">
                  <c:v>0.839622641509434</c:v>
                </c:pt>
                <c:pt idx="18">
                  <c:v>0.88118811881188119</c:v>
                </c:pt>
                <c:pt idx="19">
                  <c:v>0.87378640776699024</c:v>
                </c:pt>
                <c:pt idx="20">
                  <c:v>0.88349514563106801</c:v>
                </c:pt>
                <c:pt idx="21">
                  <c:v>0.88349514563106801</c:v>
                </c:pt>
                <c:pt idx="22">
                  <c:v>0.875</c:v>
                </c:pt>
                <c:pt idx="23">
                  <c:v>0.88349514563106801</c:v>
                </c:pt>
                <c:pt idx="24">
                  <c:v>0.88349514563106801</c:v>
                </c:pt>
                <c:pt idx="25">
                  <c:v>0.90099009900990101</c:v>
                </c:pt>
                <c:pt idx="26">
                  <c:v>0.91836734693877553</c:v>
                </c:pt>
                <c:pt idx="27">
                  <c:v>0.90099009900990101</c:v>
                </c:pt>
                <c:pt idx="28">
                  <c:v>0.90816326530612246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ser>
          <c:idx val="10"/>
          <c:order val="10"/>
          <c:tx>
            <c:strRef>
              <c:f>'Act-Pass_knn'!$A$11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'Act-Pass_knn'!$B$11:$AD$11</c:f>
              <c:numCache>
                <c:formatCode>General</c:formatCode>
                <c:ptCount val="29"/>
                <c:pt idx="0">
                  <c:v>0.86910994764397909</c:v>
                </c:pt>
                <c:pt idx="1">
                  <c:v>0.86910994764397909</c:v>
                </c:pt>
                <c:pt idx="2">
                  <c:v>0.875</c:v>
                </c:pt>
                <c:pt idx="3">
                  <c:v>0.875</c:v>
                </c:pt>
                <c:pt idx="4">
                  <c:v>0.86597938144329889</c:v>
                </c:pt>
                <c:pt idx="5">
                  <c:v>0.875</c:v>
                </c:pt>
                <c:pt idx="6">
                  <c:v>0.8704663212435233</c:v>
                </c:pt>
                <c:pt idx="7">
                  <c:v>0.87179487179487181</c:v>
                </c:pt>
                <c:pt idx="8">
                  <c:v>0.8529411764705882</c:v>
                </c:pt>
                <c:pt idx="9">
                  <c:v>0.86432160804020097</c:v>
                </c:pt>
                <c:pt idx="10">
                  <c:v>0.85853658536585375</c:v>
                </c:pt>
                <c:pt idx="11">
                  <c:v>0.87684729064039391</c:v>
                </c:pt>
                <c:pt idx="12">
                  <c:v>0.89</c:v>
                </c:pt>
                <c:pt idx="13">
                  <c:v>0.89</c:v>
                </c:pt>
                <c:pt idx="14">
                  <c:v>0.88888888888888884</c:v>
                </c:pt>
                <c:pt idx="15">
                  <c:v>0.88888888888888884</c:v>
                </c:pt>
                <c:pt idx="16">
                  <c:v>0.9</c:v>
                </c:pt>
                <c:pt idx="17">
                  <c:v>0.89</c:v>
                </c:pt>
                <c:pt idx="18">
                  <c:v>0.9128205128205128</c:v>
                </c:pt>
                <c:pt idx="19">
                  <c:v>0.91370558375634514</c:v>
                </c:pt>
                <c:pt idx="20">
                  <c:v>0.92385786802030456</c:v>
                </c:pt>
                <c:pt idx="21">
                  <c:v>0.92385786802030456</c:v>
                </c:pt>
                <c:pt idx="22">
                  <c:v>0.91919191919191912</c:v>
                </c:pt>
                <c:pt idx="23">
                  <c:v>0.92385786802030456</c:v>
                </c:pt>
                <c:pt idx="24">
                  <c:v>0.92385786802030456</c:v>
                </c:pt>
                <c:pt idx="25">
                  <c:v>0.93333333333333346</c:v>
                </c:pt>
                <c:pt idx="26">
                  <c:v>0.93750000000000011</c:v>
                </c:pt>
                <c:pt idx="27">
                  <c:v>0.93333333333333346</c:v>
                </c:pt>
                <c:pt idx="28">
                  <c:v>0.92708333333333337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77D9-4A1C-88F1-5D85263F2624}"/>
            </c:ext>
          </c:extLst>
        </c:ser>
        <c:ser>
          <c:idx val="11"/>
          <c:order val="11"/>
          <c:tx>
            <c:strRef>
              <c:f>'Act-Pass_knn'!$A$12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'Act-Pass_knn'!$B$12:$AD$12</c:f>
              <c:numCache>
                <c:formatCode>General</c:formatCode>
                <c:ptCount val="29"/>
                <c:pt idx="0">
                  <c:v>0.86792452830188682</c:v>
                </c:pt>
                <c:pt idx="1">
                  <c:v>0.86792452830188682</c:v>
                </c:pt>
                <c:pt idx="2">
                  <c:v>0.86792452830188682</c:v>
                </c:pt>
                <c:pt idx="3">
                  <c:v>0.86792452830188682</c:v>
                </c:pt>
                <c:pt idx="4">
                  <c:v>0.84905660377358494</c:v>
                </c:pt>
                <c:pt idx="5">
                  <c:v>0.86792452830188682</c:v>
                </c:pt>
                <c:pt idx="6">
                  <c:v>0.85849056603773588</c:v>
                </c:pt>
                <c:pt idx="7">
                  <c:v>0.84905660377358494</c:v>
                </c:pt>
                <c:pt idx="8">
                  <c:v>0.78301886792452835</c:v>
                </c:pt>
                <c:pt idx="9">
                  <c:v>0.82075471698113212</c:v>
                </c:pt>
                <c:pt idx="10">
                  <c:v>0.78301886792452835</c:v>
                </c:pt>
                <c:pt idx="11">
                  <c:v>0.81132075471698117</c:v>
                </c:pt>
                <c:pt idx="12">
                  <c:v>0.839622641509434</c:v>
                </c:pt>
                <c:pt idx="13">
                  <c:v>0.839622641509434</c:v>
                </c:pt>
                <c:pt idx="14">
                  <c:v>0.84905660377358494</c:v>
                </c:pt>
                <c:pt idx="15">
                  <c:v>0.84905660377358494</c:v>
                </c:pt>
                <c:pt idx="16">
                  <c:v>0.84905660377358494</c:v>
                </c:pt>
                <c:pt idx="17">
                  <c:v>0.839622641509434</c:v>
                </c:pt>
                <c:pt idx="18">
                  <c:v>0.8867924528301887</c:v>
                </c:pt>
                <c:pt idx="19">
                  <c:v>0.87735849056603776</c:v>
                </c:pt>
                <c:pt idx="20">
                  <c:v>0.8867924528301887</c:v>
                </c:pt>
                <c:pt idx="21">
                  <c:v>0.8867924528301887</c:v>
                </c:pt>
                <c:pt idx="22">
                  <c:v>0.87735849056603776</c:v>
                </c:pt>
                <c:pt idx="23">
                  <c:v>0.8867924528301887</c:v>
                </c:pt>
                <c:pt idx="24">
                  <c:v>0.8867924528301887</c:v>
                </c:pt>
                <c:pt idx="25">
                  <c:v>0.90566037735849059</c:v>
                </c:pt>
                <c:pt idx="26">
                  <c:v>0.92452830188679247</c:v>
                </c:pt>
                <c:pt idx="27">
                  <c:v>0.90566037735849059</c:v>
                </c:pt>
                <c:pt idx="28">
                  <c:v>0.91509433962264153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'Act-Pass_knn'!$A$1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'Act-Pass_knn'!$B$1:$AD$1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83</c:v>
                      </c:pt>
                      <c:pt idx="1">
                        <c:v>83</c:v>
                      </c:pt>
                      <c:pt idx="2">
                        <c:v>84</c:v>
                      </c:pt>
                      <c:pt idx="3">
                        <c:v>84</c:v>
                      </c:pt>
                      <c:pt idx="4">
                        <c:v>84</c:v>
                      </c:pt>
                      <c:pt idx="5">
                        <c:v>84</c:v>
                      </c:pt>
                      <c:pt idx="6">
                        <c:v>84</c:v>
                      </c:pt>
                      <c:pt idx="7">
                        <c:v>85</c:v>
                      </c:pt>
                      <c:pt idx="8">
                        <c:v>87</c:v>
                      </c:pt>
                      <c:pt idx="9">
                        <c:v>86</c:v>
                      </c:pt>
                      <c:pt idx="10">
                        <c:v>88</c:v>
                      </c:pt>
                      <c:pt idx="11">
                        <c:v>89</c:v>
                      </c:pt>
                      <c:pt idx="12">
                        <c:v>89</c:v>
                      </c:pt>
                      <c:pt idx="13">
                        <c:v>89</c:v>
                      </c:pt>
                      <c:pt idx="14">
                        <c:v>88</c:v>
                      </c:pt>
                      <c:pt idx="15">
                        <c:v>88</c:v>
                      </c:pt>
                      <c:pt idx="16">
                        <c:v>90</c:v>
                      </c:pt>
                      <c:pt idx="17">
                        <c:v>89</c:v>
                      </c:pt>
                      <c:pt idx="18">
                        <c:v>89</c:v>
                      </c:pt>
                      <c:pt idx="19">
                        <c:v>90</c:v>
                      </c:pt>
                      <c:pt idx="20">
                        <c:v>91</c:v>
                      </c:pt>
                      <c:pt idx="21">
                        <c:v>91</c:v>
                      </c:pt>
                      <c:pt idx="22">
                        <c:v>91</c:v>
                      </c:pt>
                      <c:pt idx="23">
                        <c:v>91</c:v>
                      </c:pt>
                      <c:pt idx="24">
                        <c:v>91</c:v>
                      </c:pt>
                      <c:pt idx="25">
                        <c:v>91</c:v>
                      </c:pt>
                      <c:pt idx="26">
                        <c:v>90</c:v>
                      </c:pt>
                      <c:pt idx="27">
                        <c:v>91</c:v>
                      </c:pt>
                      <c:pt idx="28">
                        <c:v>89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11</c:v>
                      </c:pt>
                      <c:pt idx="1">
                        <c:v>11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10</c:v>
                      </c:pt>
                      <c:pt idx="6">
                        <c:v>10</c:v>
                      </c:pt>
                      <c:pt idx="7">
                        <c:v>9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6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4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4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4</c:v>
                      </c:pt>
                      <c:pt idx="27">
                        <c:v>3</c:v>
                      </c:pt>
                      <c:pt idx="28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14</c:v>
                      </c:pt>
                      <c:pt idx="1">
                        <c:v>14</c:v>
                      </c:pt>
                      <c:pt idx="2">
                        <c:v>14</c:v>
                      </c:pt>
                      <c:pt idx="3">
                        <c:v>14</c:v>
                      </c:pt>
                      <c:pt idx="4">
                        <c:v>16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16</c:v>
                      </c:pt>
                      <c:pt idx="8">
                        <c:v>23</c:v>
                      </c:pt>
                      <c:pt idx="9">
                        <c:v>19</c:v>
                      </c:pt>
                      <c:pt idx="10">
                        <c:v>23</c:v>
                      </c:pt>
                      <c:pt idx="11">
                        <c:v>20</c:v>
                      </c:pt>
                      <c:pt idx="12">
                        <c:v>17</c:v>
                      </c:pt>
                      <c:pt idx="13">
                        <c:v>17</c:v>
                      </c:pt>
                      <c:pt idx="14">
                        <c:v>16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12</c:v>
                      </c:pt>
                      <c:pt idx="19">
                        <c:v>13</c:v>
                      </c:pt>
                      <c:pt idx="20">
                        <c:v>12</c:v>
                      </c:pt>
                      <c:pt idx="21">
                        <c:v>12</c:v>
                      </c:pt>
                      <c:pt idx="22">
                        <c:v>13</c:v>
                      </c:pt>
                      <c:pt idx="23">
                        <c:v>12</c:v>
                      </c:pt>
                      <c:pt idx="24">
                        <c:v>12</c:v>
                      </c:pt>
                      <c:pt idx="25">
                        <c:v>10</c:v>
                      </c:pt>
                      <c:pt idx="26">
                        <c:v>8</c:v>
                      </c:pt>
                      <c:pt idx="27">
                        <c:v>10</c:v>
                      </c:pt>
                      <c:pt idx="28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92</c:v>
                      </c:pt>
                      <c:pt idx="1">
                        <c:v>92</c:v>
                      </c:pt>
                      <c:pt idx="2">
                        <c:v>92</c:v>
                      </c:pt>
                      <c:pt idx="3">
                        <c:v>92</c:v>
                      </c:pt>
                      <c:pt idx="4">
                        <c:v>90</c:v>
                      </c:pt>
                      <c:pt idx="5">
                        <c:v>92</c:v>
                      </c:pt>
                      <c:pt idx="6">
                        <c:v>91</c:v>
                      </c:pt>
                      <c:pt idx="7">
                        <c:v>90</c:v>
                      </c:pt>
                      <c:pt idx="8">
                        <c:v>83</c:v>
                      </c:pt>
                      <c:pt idx="9">
                        <c:v>87</c:v>
                      </c:pt>
                      <c:pt idx="10">
                        <c:v>83</c:v>
                      </c:pt>
                      <c:pt idx="11">
                        <c:v>86</c:v>
                      </c:pt>
                      <c:pt idx="12">
                        <c:v>89</c:v>
                      </c:pt>
                      <c:pt idx="13">
                        <c:v>89</c:v>
                      </c:pt>
                      <c:pt idx="14">
                        <c:v>90</c:v>
                      </c:pt>
                      <c:pt idx="15">
                        <c:v>90</c:v>
                      </c:pt>
                      <c:pt idx="16">
                        <c:v>90</c:v>
                      </c:pt>
                      <c:pt idx="17">
                        <c:v>89</c:v>
                      </c:pt>
                      <c:pt idx="18">
                        <c:v>94</c:v>
                      </c:pt>
                      <c:pt idx="19">
                        <c:v>93</c:v>
                      </c:pt>
                      <c:pt idx="20">
                        <c:v>94</c:v>
                      </c:pt>
                      <c:pt idx="21">
                        <c:v>94</c:v>
                      </c:pt>
                      <c:pt idx="22">
                        <c:v>93</c:v>
                      </c:pt>
                      <c:pt idx="23">
                        <c:v>94</c:v>
                      </c:pt>
                      <c:pt idx="24">
                        <c:v>94</c:v>
                      </c:pt>
                      <c:pt idx="25">
                        <c:v>96</c:v>
                      </c:pt>
                      <c:pt idx="26">
                        <c:v>98</c:v>
                      </c:pt>
                      <c:pt idx="27">
                        <c:v>96</c:v>
                      </c:pt>
                      <c:pt idx="28">
                        <c:v>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0.125</c:v>
                      </c:pt>
                      <c:pt idx="1">
                        <c:v>0.125</c:v>
                      </c:pt>
                      <c:pt idx="2">
                        <c:v>0.12</c:v>
                      </c:pt>
                      <c:pt idx="3">
                        <c:v>0.12</c:v>
                      </c:pt>
                      <c:pt idx="4">
                        <c:v>0.13</c:v>
                      </c:pt>
                      <c:pt idx="5">
                        <c:v>0.12</c:v>
                      </c:pt>
                      <c:pt idx="6">
                        <c:v>0.125</c:v>
                      </c:pt>
                      <c:pt idx="7">
                        <c:v>0.125</c:v>
                      </c:pt>
                      <c:pt idx="8">
                        <c:v>0.15000000000000002</c:v>
                      </c:pt>
                      <c:pt idx="9">
                        <c:v>0.13500000000000001</c:v>
                      </c:pt>
                      <c:pt idx="10">
                        <c:v>0.14500000000000002</c:v>
                      </c:pt>
                      <c:pt idx="11">
                        <c:v>0.125</c:v>
                      </c:pt>
                      <c:pt idx="12">
                        <c:v>0.10999999999999999</c:v>
                      </c:pt>
                      <c:pt idx="13">
                        <c:v>0.10999999999999999</c:v>
                      </c:pt>
                      <c:pt idx="14">
                        <c:v>0.10999999999999999</c:v>
                      </c:pt>
                      <c:pt idx="15">
                        <c:v>0.10999999999999999</c:v>
                      </c:pt>
                      <c:pt idx="16">
                        <c:v>9.9999999999999978E-2</c:v>
                      </c:pt>
                      <c:pt idx="17">
                        <c:v>0.10999999999999999</c:v>
                      </c:pt>
                      <c:pt idx="18">
                        <c:v>8.4999999999999964E-2</c:v>
                      </c:pt>
                      <c:pt idx="19">
                        <c:v>8.4999999999999964E-2</c:v>
                      </c:pt>
                      <c:pt idx="20">
                        <c:v>7.4999999999999956E-2</c:v>
                      </c:pt>
                      <c:pt idx="21">
                        <c:v>7.4999999999999956E-2</c:v>
                      </c:pt>
                      <c:pt idx="22">
                        <c:v>7.999999999999996E-2</c:v>
                      </c:pt>
                      <c:pt idx="23">
                        <c:v>7.4999999999999956E-2</c:v>
                      </c:pt>
                      <c:pt idx="24">
                        <c:v>7.4999999999999956E-2</c:v>
                      </c:pt>
                      <c:pt idx="25">
                        <c:v>6.4999999999999947E-2</c:v>
                      </c:pt>
                      <c:pt idx="26">
                        <c:v>6.0000000000000053E-2</c:v>
                      </c:pt>
                      <c:pt idx="27">
                        <c:v>6.4999999999999947E-2</c:v>
                      </c:pt>
                      <c:pt idx="28">
                        <c:v>6.9999999999999951E-2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'Act-Pass_knn'!$A$13</c15:sqref>
                        </c15:formulaRef>
                      </c:ext>
                    </c:extLst>
                    <c:strCache>
                      <c:ptCount val="1"/>
                      <c:pt idx="0">
                        <c:v>Limite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'Act-Pass_knn'!$B$13:$AD$13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0.9</c:v>
                      </c:pt>
                      <c:pt idx="1">
                        <c:v>0.9</c:v>
                      </c:pt>
                      <c:pt idx="2">
                        <c:v>0.9</c:v>
                      </c:pt>
                      <c:pt idx="3">
                        <c:v>0.9</c:v>
                      </c:pt>
                      <c:pt idx="4">
                        <c:v>0.9</c:v>
                      </c:pt>
                      <c:pt idx="5">
                        <c:v>0.9</c:v>
                      </c:pt>
                      <c:pt idx="6">
                        <c:v>0.9</c:v>
                      </c:pt>
                      <c:pt idx="7">
                        <c:v>0.9</c:v>
                      </c:pt>
                      <c:pt idx="8">
                        <c:v>0.9</c:v>
                      </c:pt>
                      <c:pt idx="9">
                        <c:v>0.9</c:v>
                      </c:pt>
                      <c:pt idx="10">
                        <c:v>0.9</c:v>
                      </c:pt>
                      <c:pt idx="11">
                        <c:v>0.9</c:v>
                      </c:pt>
                      <c:pt idx="12">
                        <c:v>0.9</c:v>
                      </c:pt>
                      <c:pt idx="13">
                        <c:v>0.9</c:v>
                      </c:pt>
                      <c:pt idx="14">
                        <c:v>0.9</c:v>
                      </c:pt>
                      <c:pt idx="15">
                        <c:v>0.9</c:v>
                      </c:pt>
                      <c:pt idx="16">
                        <c:v>0.9</c:v>
                      </c:pt>
                      <c:pt idx="17">
                        <c:v>0.9</c:v>
                      </c:pt>
                      <c:pt idx="18">
                        <c:v>0.9</c:v>
                      </c:pt>
                      <c:pt idx="19">
                        <c:v>0.9</c:v>
                      </c:pt>
                      <c:pt idx="20">
                        <c:v>0.9</c:v>
                      </c:pt>
                      <c:pt idx="21">
                        <c:v>0.9</c:v>
                      </c:pt>
                      <c:pt idx="22">
                        <c:v>0.9</c:v>
                      </c:pt>
                      <c:pt idx="23">
                        <c:v>0.9</c:v>
                      </c:pt>
                      <c:pt idx="24">
                        <c:v>0.9</c:v>
                      </c:pt>
                      <c:pt idx="25">
                        <c:v>0.9</c:v>
                      </c:pt>
                      <c:pt idx="26">
                        <c:v>0.9</c:v>
                      </c:pt>
                      <c:pt idx="27">
                        <c:v>0.9</c:v>
                      </c:pt>
                      <c:pt idx="28">
                        <c:v>0.9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0.98"/>
          <c:min val="0.71000000000000008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'Act-Fail_knn'!$A$7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'Act-Fail_knn'!$B$7:$AD$7</c:f>
              <c:numCache>
                <c:formatCode>General</c:formatCode>
                <c:ptCount val="29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0.83499999999999996</c:v>
                </c:pt>
                <c:pt idx="4">
                  <c:v>0.82</c:v>
                </c:pt>
                <c:pt idx="5">
                  <c:v>0.82</c:v>
                </c:pt>
                <c:pt idx="6">
                  <c:v>0.8</c:v>
                </c:pt>
                <c:pt idx="7">
                  <c:v>0.81</c:v>
                </c:pt>
                <c:pt idx="8">
                  <c:v>0.80500000000000005</c:v>
                </c:pt>
                <c:pt idx="9">
                  <c:v>0.81499999999999995</c:v>
                </c:pt>
                <c:pt idx="10">
                  <c:v>0.80500000000000005</c:v>
                </c:pt>
                <c:pt idx="11">
                  <c:v>0.81499999999999995</c:v>
                </c:pt>
                <c:pt idx="12">
                  <c:v>0.81</c:v>
                </c:pt>
                <c:pt idx="13">
                  <c:v>0.81499999999999995</c:v>
                </c:pt>
                <c:pt idx="14">
                  <c:v>0.81</c:v>
                </c:pt>
                <c:pt idx="15">
                  <c:v>0.81</c:v>
                </c:pt>
                <c:pt idx="16">
                  <c:v>0.8</c:v>
                </c:pt>
                <c:pt idx="17">
                  <c:v>0.81499999999999995</c:v>
                </c:pt>
                <c:pt idx="18">
                  <c:v>0.81499999999999995</c:v>
                </c:pt>
                <c:pt idx="19">
                  <c:v>0.81</c:v>
                </c:pt>
                <c:pt idx="20">
                  <c:v>0.82</c:v>
                </c:pt>
                <c:pt idx="21">
                  <c:v>0.79500000000000004</c:v>
                </c:pt>
                <c:pt idx="22">
                  <c:v>0.80500000000000005</c:v>
                </c:pt>
                <c:pt idx="23">
                  <c:v>0.81499999999999995</c:v>
                </c:pt>
                <c:pt idx="24">
                  <c:v>0.82499999999999996</c:v>
                </c:pt>
                <c:pt idx="25">
                  <c:v>0.82499999999999996</c:v>
                </c:pt>
                <c:pt idx="26">
                  <c:v>0.81499999999999995</c:v>
                </c:pt>
                <c:pt idx="27">
                  <c:v>0.82</c:v>
                </c:pt>
                <c:pt idx="28">
                  <c:v>0.81499999999999995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8"/>
          <c:order val="8"/>
          <c:tx>
            <c:strRef>
              <c:f>'Act-Fail_knn'!$A$9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'Act-Fail_knn'!$B$9:$AD$9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2.9411764705882353E-2</c:v>
                </c:pt>
                <c:pt idx="5">
                  <c:v>2.9411764705882353E-2</c:v>
                </c:pt>
                <c:pt idx="6">
                  <c:v>0.14705882352941177</c:v>
                </c:pt>
                <c:pt idx="7">
                  <c:v>8.8235294117647065E-2</c:v>
                </c:pt>
                <c:pt idx="8">
                  <c:v>8.8235294117647065E-2</c:v>
                </c:pt>
                <c:pt idx="9">
                  <c:v>5.8823529411764705E-2</c:v>
                </c:pt>
                <c:pt idx="10">
                  <c:v>8.8235294117647065E-2</c:v>
                </c:pt>
                <c:pt idx="11">
                  <c:v>8.8235294117647065E-2</c:v>
                </c:pt>
                <c:pt idx="12">
                  <c:v>8.8235294117647065E-2</c:v>
                </c:pt>
                <c:pt idx="13">
                  <c:v>6.0606060606060608E-2</c:v>
                </c:pt>
                <c:pt idx="14">
                  <c:v>8.8235294117647065E-2</c:v>
                </c:pt>
                <c:pt idx="15">
                  <c:v>8.8235294117647065E-2</c:v>
                </c:pt>
                <c:pt idx="16">
                  <c:v>8.8235294117647065E-2</c:v>
                </c:pt>
                <c:pt idx="17">
                  <c:v>8.8235294117647065E-2</c:v>
                </c:pt>
                <c:pt idx="18">
                  <c:v>2.9411764705882353E-2</c:v>
                </c:pt>
                <c:pt idx="19">
                  <c:v>8.8235294117647065E-2</c:v>
                </c:pt>
                <c:pt idx="20">
                  <c:v>2.9411764705882353E-2</c:v>
                </c:pt>
                <c:pt idx="21">
                  <c:v>2.9411764705882353E-2</c:v>
                </c:pt>
                <c:pt idx="22">
                  <c:v>2.9411764705882353E-2</c:v>
                </c:pt>
                <c:pt idx="23">
                  <c:v>8.8235294117647065E-2</c:v>
                </c:pt>
                <c:pt idx="24">
                  <c:v>2.9411764705882353E-2</c:v>
                </c:pt>
                <c:pt idx="25">
                  <c:v>2.9411764705882353E-2</c:v>
                </c:pt>
                <c:pt idx="26">
                  <c:v>5.8823529411764705E-2</c:v>
                </c:pt>
                <c:pt idx="27">
                  <c:v>2.9411764705882353E-2</c:v>
                </c:pt>
                <c:pt idx="28">
                  <c:v>8.8235294117647065E-2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'Act-Fail_knn'!$A$10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'Act-Fail_knn'!$B$10:$AD$10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0.25</c:v>
                </c:pt>
                <c:pt idx="5">
                  <c:v>0.25</c:v>
                </c:pt>
                <c:pt idx="6">
                  <c:v>0.3125</c:v>
                </c:pt>
                <c:pt idx="7">
                  <c:v>0.3</c:v>
                </c:pt>
                <c:pt idx="8">
                  <c:v>0.27272727272727271</c:v>
                </c:pt>
                <c:pt idx="9">
                  <c:v>0.2857142857142857</c:v>
                </c:pt>
                <c:pt idx="10">
                  <c:v>0.27272727272727271</c:v>
                </c:pt>
                <c:pt idx="11">
                  <c:v>0.33333333333333331</c:v>
                </c:pt>
                <c:pt idx="12">
                  <c:v>0.3</c:v>
                </c:pt>
                <c:pt idx="13">
                  <c:v>0.25</c:v>
                </c:pt>
                <c:pt idx="14">
                  <c:v>0.3</c:v>
                </c:pt>
                <c:pt idx="15">
                  <c:v>0.3</c:v>
                </c:pt>
                <c:pt idx="16">
                  <c:v>0.25</c:v>
                </c:pt>
                <c:pt idx="17">
                  <c:v>0.33333333333333331</c:v>
                </c:pt>
                <c:pt idx="18">
                  <c:v>0.2</c:v>
                </c:pt>
                <c:pt idx="19">
                  <c:v>0.3</c:v>
                </c:pt>
                <c:pt idx="20">
                  <c:v>0.25</c:v>
                </c:pt>
                <c:pt idx="21">
                  <c:v>0.1111111111111111</c:v>
                </c:pt>
                <c:pt idx="22">
                  <c:v>0.14285714285714285</c:v>
                </c:pt>
                <c:pt idx="23">
                  <c:v>0.33333333333333331</c:v>
                </c:pt>
                <c:pt idx="24">
                  <c:v>0.33333333333333331</c:v>
                </c:pt>
                <c:pt idx="25">
                  <c:v>0.33333333333333331</c:v>
                </c:pt>
                <c:pt idx="26">
                  <c:v>0.2857142857142857</c:v>
                </c:pt>
                <c:pt idx="27">
                  <c:v>0.25</c:v>
                </c:pt>
                <c:pt idx="28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ser>
          <c:idx val="10"/>
          <c:order val="10"/>
          <c:tx>
            <c:strRef>
              <c:f>'Act-Fail_knn'!$A$11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'Act-Fail_knn'!$B$11:$AD$11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5.2631578947368418E-2</c:v>
                </c:pt>
                <c:pt idx="5">
                  <c:v>5.2631578947368418E-2</c:v>
                </c:pt>
                <c:pt idx="6">
                  <c:v>0.2</c:v>
                </c:pt>
                <c:pt idx="7">
                  <c:v>0.13636363636363635</c:v>
                </c:pt>
                <c:pt idx="8">
                  <c:v>0.13333333333333333</c:v>
                </c:pt>
                <c:pt idx="9">
                  <c:v>9.7560975609756101E-2</c:v>
                </c:pt>
                <c:pt idx="10">
                  <c:v>0.13333333333333333</c:v>
                </c:pt>
                <c:pt idx="11">
                  <c:v>0.13953488372093023</c:v>
                </c:pt>
                <c:pt idx="12">
                  <c:v>0.13636363636363635</c:v>
                </c:pt>
                <c:pt idx="13">
                  <c:v>9.7560975609756101E-2</c:v>
                </c:pt>
                <c:pt idx="14">
                  <c:v>0.13636363636363635</c:v>
                </c:pt>
                <c:pt idx="15">
                  <c:v>0.13636363636363635</c:v>
                </c:pt>
                <c:pt idx="16">
                  <c:v>0.13043478260869565</c:v>
                </c:pt>
                <c:pt idx="17">
                  <c:v>0.13953488372093023</c:v>
                </c:pt>
                <c:pt idx="18">
                  <c:v>5.128205128205128E-2</c:v>
                </c:pt>
                <c:pt idx="19">
                  <c:v>0.13636363636363635</c:v>
                </c:pt>
                <c:pt idx="20">
                  <c:v>5.2631578947368418E-2</c:v>
                </c:pt>
                <c:pt idx="21">
                  <c:v>4.6511627906976737E-2</c:v>
                </c:pt>
                <c:pt idx="22">
                  <c:v>4.878048780487805E-2</c:v>
                </c:pt>
                <c:pt idx="23">
                  <c:v>0.13953488372093023</c:v>
                </c:pt>
                <c:pt idx="24">
                  <c:v>5.4054054054054057E-2</c:v>
                </c:pt>
                <c:pt idx="25">
                  <c:v>5.4054054054054057E-2</c:v>
                </c:pt>
                <c:pt idx="26">
                  <c:v>9.7560975609756101E-2</c:v>
                </c:pt>
                <c:pt idx="27">
                  <c:v>5.2631578947368418E-2</c:v>
                </c:pt>
                <c:pt idx="28">
                  <c:v>0.13953488372093023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CE2-433F-8480-6EF6029FDEC5}"/>
            </c:ext>
          </c:extLst>
        </c:ser>
        <c:ser>
          <c:idx val="11"/>
          <c:order val="11"/>
          <c:tx>
            <c:strRef>
              <c:f>'Act-Fail_knn'!$A$12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'Act-Fail_knn'!$B$12:$AD$12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0.98192771084337349</c:v>
                </c:pt>
                <c:pt idx="5">
                  <c:v>0.98192771084337349</c:v>
                </c:pt>
                <c:pt idx="6">
                  <c:v>0.9337349397590361</c:v>
                </c:pt>
                <c:pt idx="7">
                  <c:v>0.95783132530120485</c:v>
                </c:pt>
                <c:pt idx="8">
                  <c:v>0.95180722891566261</c:v>
                </c:pt>
                <c:pt idx="9">
                  <c:v>0.96987951807228912</c:v>
                </c:pt>
                <c:pt idx="10">
                  <c:v>0.95180722891566261</c:v>
                </c:pt>
                <c:pt idx="11">
                  <c:v>0.96385542168674698</c:v>
                </c:pt>
                <c:pt idx="12">
                  <c:v>0.95783132530120485</c:v>
                </c:pt>
                <c:pt idx="13">
                  <c:v>0.9640718562874252</c:v>
                </c:pt>
                <c:pt idx="14">
                  <c:v>0.95783132530120485</c:v>
                </c:pt>
                <c:pt idx="15">
                  <c:v>0.95783132530120485</c:v>
                </c:pt>
                <c:pt idx="16">
                  <c:v>0.94578313253012047</c:v>
                </c:pt>
                <c:pt idx="17">
                  <c:v>0.96385542168674698</c:v>
                </c:pt>
                <c:pt idx="18">
                  <c:v>0.97590361445783136</c:v>
                </c:pt>
                <c:pt idx="19">
                  <c:v>0.95783132530120485</c:v>
                </c:pt>
                <c:pt idx="20">
                  <c:v>0.98192771084337349</c:v>
                </c:pt>
                <c:pt idx="21">
                  <c:v>0.95180722891566261</c:v>
                </c:pt>
                <c:pt idx="22">
                  <c:v>0.96385542168674698</c:v>
                </c:pt>
                <c:pt idx="23">
                  <c:v>0.96385542168674698</c:v>
                </c:pt>
                <c:pt idx="24">
                  <c:v>0.98795180722891562</c:v>
                </c:pt>
                <c:pt idx="25">
                  <c:v>0.98795180722891562</c:v>
                </c:pt>
                <c:pt idx="26">
                  <c:v>0.96987951807228912</c:v>
                </c:pt>
                <c:pt idx="27">
                  <c:v>0.98192771084337349</c:v>
                </c:pt>
                <c:pt idx="28">
                  <c:v>0.96385542168674698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'Act-Fail_knn'!$A$1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'Act-Fail_knn'!$B$1:$AD$1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5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1</c:v>
                      </c:pt>
                      <c:pt idx="19">
                        <c:v>3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3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33</c:v>
                      </c:pt>
                      <c:pt idx="4">
                        <c:v>33</c:v>
                      </c:pt>
                      <c:pt idx="5">
                        <c:v>33</c:v>
                      </c:pt>
                      <c:pt idx="6">
                        <c:v>29</c:v>
                      </c:pt>
                      <c:pt idx="7">
                        <c:v>31</c:v>
                      </c:pt>
                      <c:pt idx="8">
                        <c:v>31</c:v>
                      </c:pt>
                      <c:pt idx="9">
                        <c:v>32</c:v>
                      </c:pt>
                      <c:pt idx="10">
                        <c:v>31</c:v>
                      </c:pt>
                      <c:pt idx="11">
                        <c:v>31</c:v>
                      </c:pt>
                      <c:pt idx="12">
                        <c:v>31</c:v>
                      </c:pt>
                      <c:pt idx="13">
                        <c:v>31</c:v>
                      </c:pt>
                      <c:pt idx="14">
                        <c:v>31</c:v>
                      </c:pt>
                      <c:pt idx="15">
                        <c:v>31</c:v>
                      </c:pt>
                      <c:pt idx="16">
                        <c:v>31</c:v>
                      </c:pt>
                      <c:pt idx="17">
                        <c:v>31</c:v>
                      </c:pt>
                      <c:pt idx="18">
                        <c:v>33</c:v>
                      </c:pt>
                      <c:pt idx="19">
                        <c:v>31</c:v>
                      </c:pt>
                      <c:pt idx="20">
                        <c:v>33</c:v>
                      </c:pt>
                      <c:pt idx="21">
                        <c:v>33</c:v>
                      </c:pt>
                      <c:pt idx="22">
                        <c:v>33</c:v>
                      </c:pt>
                      <c:pt idx="23">
                        <c:v>31</c:v>
                      </c:pt>
                      <c:pt idx="24">
                        <c:v>33</c:v>
                      </c:pt>
                      <c:pt idx="25">
                        <c:v>33</c:v>
                      </c:pt>
                      <c:pt idx="26">
                        <c:v>32</c:v>
                      </c:pt>
                      <c:pt idx="27">
                        <c:v>33</c:v>
                      </c:pt>
                      <c:pt idx="28">
                        <c:v>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11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5</c:v>
                      </c:pt>
                      <c:pt idx="10">
                        <c:v>8</c:v>
                      </c:pt>
                      <c:pt idx="11">
                        <c:v>6</c:v>
                      </c:pt>
                      <c:pt idx="12">
                        <c:v>7</c:v>
                      </c:pt>
                      <c:pt idx="13">
                        <c:v>6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9</c:v>
                      </c:pt>
                      <c:pt idx="17">
                        <c:v>6</c:v>
                      </c:pt>
                      <c:pt idx="18">
                        <c:v>4</c:v>
                      </c:pt>
                      <c:pt idx="19">
                        <c:v>7</c:v>
                      </c:pt>
                      <c:pt idx="20">
                        <c:v>3</c:v>
                      </c:pt>
                      <c:pt idx="21">
                        <c:v>8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5</c:v>
                      </c:pt>
                      <c:pt idx="27">
                        <c:v>3</c:v>
                      </c:pt>
                      <c:pt idx="28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166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167</c:v>
                      </c:pt>
                      <c:pt idx="4">
                        <c:v>163</c:v>
                      </c:pt>
                      <c:pt idx="5">
                        <c:v>163</c:v>
                      </c:pt>
                      <c:pt idx="6">
                        <c:v>155</c:v>
                      </c:pt>
                      <c:pt idx="7">
                        <c:v>159</c:v>
                      </c:pt>
                      <c:pt idx="8">
                        <c:v>158</c:v>
                      </c:pt>
                      <c:pt idx="9">
                        <c:v>161</c:v>
                      </c:pt>
                      <c:pt idx="10">
                        <c:v>158</c:v>
                      </c:pt>
                      <c:pt idx="11">
                        <c:v>160</c:v>
                      </c:pt>
                      <c:pt idx="12">
                        <c:v>159</c:v>
                      </c:pt>
                      <c:pt idx="13">
                        <c:v>161</c:v>
                      </c:pt>
                      <c:pt idx="14">
                        <c:v>159</c:v>
                      </c:pt>
                      <c:pt idx="15">
                        <c:v>159</c:v>
                      </c:pt>
                      <c:pt idx="16">
                        <c:v>157</c:v>
                      </c:pt>
                      <c:pt idx="17">
                        <c:v>160</c:v>
                      </c:pt>
                      <c:pt idx="18">
                        <c:v>162</c:v>
                      </c:pt>
                      <c:pt idx="19">
                        <c:v>159</c:v>
                      </c:pt>
                      <c:pt idx="20">
                        <c:v>163</c:v>
                      </c:pt>
                      <c:pt idx="21">
                        <c:v>158</c:v>
                      </c:pt>
                      <c:pt idx="22">
                        <c:v>160</c:v>
                      </c:pt>
                      <c:pt idx="23">
                        <c:v>160</c:v>
                      </c:pt>
                      <c:pt idx="24">
                        <c:v>164</c:v>
                      </c:pt>
                      <c:pt idx="25">
                        <c:v>164</c:v>
                      </c:pt>
                      <c:pt idx="26">
                        <c:v>161</c:v>
                      </c:pt>
                      <c:pt idx="27">
                        <c:v>163</c:v>
                      </c:pt>
                      <c:pt idx="28">
                        <c:v>160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'Act-Fail_knn'!$B$8:$AD$8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0.17000000000000004</c:v>
                      </c:pt>
                      <c:pt idx="1">
                        <c:v>0.17000000000000004</c:v>
                      </c:pt>
                      <c:pt idx="2">
                        <c:v>0.17000000000000004</c:v>
                      </c:pt>
                      <c:pt idx="3">
                        <c:v>0.16500000000000004</c:v>
                      </c:pt>
                      <c:pt idx="4">
                        <c:v>0.18000000000000005</c:v>
                      </c:pt>
                      <c:pt idx="5">
                        <c:v>0.18000000000000005</c:v>
                      </c:pt>
                      <c:pt idx="6">
                        <c:v>0.19999999999999996</c:v>
                      </c:pt>
                      <c:pt idx="7">
                        <c:v>0.18999999999999995</c:v>
                      </c:pt>
                      <c:pt idx="8">
                        <c:v>0.19499999999999995</c:v>
                      </c:pt>
                      <c:pt idx="9">
                        <c:v>0.18500000000000005</c:v>
                      </c:pt>
                      <c:pt idx="10">
                        <c:v>0.19499999999999995</c:v>
                      </c:pt>
                      <c:pt idx="11">
                        <c:v>0.18500000000000005</c:v>
                      </c:pt>
                      <c:pt idx="12">
                        <c:v>0.18999999999999995</c:v>
                      </c:pt>
                      <c:pt idx="13">
                        <c:v>0.18500000000000005</c:v>
                      </c:pt>
                      <c:pt idx="14">
                        <c:v>0.18999999999999995</c:v>
                      </c:pt>
                      <c:pt idx="15">
                        <c:v>0.18999999999999995</c:v>
                      </c:pt>
                      <c:pt idx="16">
                        <c:v>0.19999999999999996</c:v>
                      </c:pt>
                      <c:pt idx="17">
                        <c:v>0.18500000000000005</c:v>
                      </c:pt>
                      <c:pt idx="18">
                        <c:v>0.18500000000000005</c:v>
                      </c:pt>
                      <c:pt idx="19">
                        <c:v>0.18999999999999995</c:v>
                      </c:pt>
                      <c:pt idx="20">
                        <c:v>0.18000000000000005</c:v>
                      </c:pt>
                      <c:pt idx="21">
                        <c:v>0.20499999999999996</c:v>
                      </c:pt>
                      <c:pt idx="22">
                        <c:v>0.19499999999999995</c:v>
                      </c:pt>
                      <c:pt idx="23">
                        <c:v>0.18500000000000005</c:v>
                      </c:pt>
                      <c:pt idx="24">
                        <c:v>0.17500000000000004</c:v>
                      </c:pt>
                      <c:pt idx="25">
                        <c:v>0.17500000000000004</c:v>
                      </c:pt>
                      <c:pt idx="26">
                        <c:v>0.18500000000000005</c:v>
                      </c:pt>
                      <c:pt idx="27">
                        <c:v>0.18000000000000005</c:v>
                      </c:pt>
                      <c:pt idx="28">
                        <c:v>0.18500000000000005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'Act-Dropout_knn'!$A$7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'Act-Dropout_knn'!$B$7:$AD$7</c:f>
              <c:numCache>
                <c:formatCode>General</c:formatCode>
                <c:ptCount val="29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0.80500000000000005</c:v>
                </c:pt>
                <c:pt idx="7">
                  <c:v>0.82499999999999996</c:v>
                </c:pt>
                <c:pt idx="8">
                  <c:v>0.83499999999999996</c:v>
                </c:pt>
                <c:pt idx="9">
                  <c:v>0.81</c:v>
                </c:pt>
                <c:pt idx="10">
                  <c:v>0.84</c:v>
                </c:pt>
                <c:pt idx="11">
                  <c:v>0.84</c:v>
                </c:pt>
                <c:pt idx="12">
                  <c:v>0.84</c:v>
                </c:pt>
                <c:pt idx="13">
                  <c:v>0.84</c:v>
                </c:pt>
                <c:pt idx="14">
                  <c:v>0.84</c:v>
                </c:pt>
                <c:pt idx="15">
                  <c:v>0.84</c:v>
                </c:pt>
                <c:pt idx="16">
                  <c:v>0.84</c:v>
                </c:pt>
                <c:pt idx="17">
                  <c:v>0.84499999999999997</c:v>
                </c:pt>
                <c:pt idx="18">
                  <c:v>0.85</c:v>
                </c:pt>
                <c:pt idx="19">
                  <c:v>0.84499999999999997</c:v>
                </c:pt>
                <c:pt idx="20">
                  <c:v>0.86499999999999999</c:v>
                </c:pt>
                <c:pt idx="21">
                  <c:v>0.84</c:v>
                </c:pt>
                <c:pt idx="22">
                  <c:v>0.85499999999999998</c:v>
                </c:pt>
                <c:pt idx="23">
                  <c:v>0.86</c:v>
                </c:pt>
                <c:pt idx="24">
                  <c:v>0.87</c:v>
                </c:pt>
                <c:pt idx="25">
                  <c:v>0.86</c:v>
                </c:pt>
                <c:pt idx="26">
                  <c:v>0.85499999999999998</c:v>
                </c:pt>
                <c:pt idx="27">
                  <c:v>0.85499999999999998</c:v>
                </c:pt>
                <c:pt idx="28">
                  <c:v>0.86499999999999999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'Act-Dropout_knn'!$A$9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'Act-Dropout_knn'!$B$9:$AD$9</c:f>
              <c:numCache>
                <c:formatCode>General</c:formatCode>
                <c:ptCount val="29"/>
                <c:pt idx="0">
                  <c:v>0.94444444444444442</c:v>
                </c:pt>
                <c:pt idx="1">
                  <c:v>0.94444444444444442</c:v>
                </c:pt>
                <c:pt idx="2">
                  <c:v>0.94444444444444442</c:v>
                </c:pt>
                <c:pt idx="3">
                  <c:v>0.94444444444444442</c:v>
                </c:pt>
                <c:pt idx="4">
                  <c:v>0.90277777777777779</c:v>
                </c:pt>
                <c:pt idx="5">
                  <c:v>0.91666666666666663</c:v>
                </c:pt>
                <c:pt idx="6">
                  <c:v>0.81944444444444442</c:v>
                </c:pt>
                <c:pt idx="7">
                  <c:v>0.875</c:v>
                </c:pt>
                <c:pt idx="8">
                  <c:v>0.81944444444444442</c:v>
                </c:pt>
                <c:pt idx="9">
                  <c:v>0.84722222222222221</c:v>
                </c:pt>
                <c:pt idx="10">
                  <c:v>0.81944444444444442</c:v>
                </c:pt>
                <c:pt idx="11">
                  <c:v>0.84722222222222221</c:v>
                </c:pt>
                <c:pt idx="12">
                  <c:v>0.86111111111111116</c:v>
                </c:pt>
                <c:pt idx="13">
                  <c:v>0.875</c:v>
                </c:pt>
                <c:pt idx="14">
                  <c:v>0.875</c:v>
                </c:pt>
                <c:pt idx="15">
                  <c:v>0.875</c:v>
                </c:pt>
                <c:pt idx="16">
                  <c:v>0.84722222222222221</c:v>
                </c:pt>
                <c:pt idx="17">
                  <c:v>0.875</c:v>
                </c:pt>
                <c:pt idx="18">
                  <c:v>0.94444444444444442</c:v>
                </c:pt>
                <c:pt idx="19">
                  <c:v>0.88888888888888884</c:v>
                </c:pt>
                <c:pt idx="20">
                  <c:v>0.95833333333333337</c:v>
                </c:pt>
                <c:pt idx="21">
                  <c:v>0.88888888888888884</c:v>
                </c:pt>
                <c:pt idx="22">
                  <c:v>0.91666666666666663</c:v>
                </c:pt>
                <c:pt idx="23">
                  <c:v>0.91666666666666663</c:v>
                </c:pt>
                <c:pt idx="24">
                  <c:v>0.97222222222222221</c:v>
                </c:pt>
                <c:pt idx="25">
                  <c:v>0.97222222222222221</c:v>
                </c:pt>
                <c:pt idx="26">
                  <c:v>0.95833333333333337</c:v>
                </c:pt>
                <c:pt idx="27">
                  <c:v>0.95833333333333337</c:v>
                </c:pt>
                <c:pt idx="28">
                  <c:v>0.95833333333333337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'Act-Dropout_knn'!$A$10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'Act-Dropout_knn'!$B$10:$AD$10</c:f>
              <c:numCache>
                <c:formatCode>General</c:formatCode>
                <c:ptCount val="29"/>
                <c:pt idx="0">
                  <c:v>0.66666666666666663</c:v>
                </c:pt>
                <c:pt idx="1">
                  <c:v>0.66666666666666663</c:v>
                </c:pt>
                <c:pt idx="2">
                  <c:v>0.66666666666666663</c:v>
                </c:pt>
                <c:pt idx="3">
                  <c:v>0.66666666666666663</c:v>
                </c:pt>
                <c:pt idx="4">
                  <c:v>0.67708333333333337</c:v>
                </c:pt>
                <c:pt idx="5">
                  <c:v>0.67346938775510201</c:v>
                </c:pt>
                <c:pt idx="6">
                  <c:v>0.69411764705882351</c:v>
                </c:pt>
                <c:pt idx="7">
                  <c:v>0.7078651685393258</c:v>
                </c:pt>
                <c:pt idx="8">
                  <c:v>0.74683544303797467</c:v>
                </c:pt>
                <c:pt idx="9">
                  <c:v>0.69318181818181823</c:v>
                </c:pt>
                <c:pt idx="10">
                  <c:v>0.75641025641025639</c:v>
                </c:pt>
                <c:pt idx="11">
                  <c:v>0.74390243902439024</c:v>
                </c:pt>
                <c:pt idx="12">
                  <c:v>0.73809523809523814</c:v>
                </c:pt>
                <c:pt idx="13">
                  <c:v>0.73255813953488369</c:v>
                </c:pt>
                <c:pt idx="14">
                  <c:v>0.73255813953488369</c:v>
                </c:pt>
                <c:pt idx="15">
                  <c:v>0.73255813953488369</c:v>
                </c:pt>
                <c:pt idx="16">
                  <c:v>0.74390243902439024</c:v>
                </c:pt>
                <c:pt idx="17">
                  <c:v>0.74117647058823533</c:v>
                </c:pt>
                <c:pt idx="18">
                  <c:v>0.72340425531914898</c:v>
                </c:pt>
                <c:pt idx="19">
                  <c:v>0.73563218390804597</c:v>
                </c:pt>
                <c:pt idx="20">
                  <c:v>0.74193548387096775</c:v>
                </c:pt>
                <c:pt idx="21">
                  <c:v>0.72727272727272729</c:v>
                </c:pt>
                <c:pt idx="22">
                  <c:v>0.7415730337078652</c:v>
                </c:pt>
                <c:pt idx="23">
                  <c:v>0.75</c:v>
                </c:pt>
                <c:pt idx="24">
                  <c:v>0.74468085106382975</c:v>
                </c:pt>
                <c:pt idx="25">
                  <c:v>0.72916666666666663</c:v>
                </c:pt>
                <c:pt idx="26">
                  <c:v>0.72631578947368425</c:v>
                </c:pt>
                <c:pt idx="27">
                  <c:v>0.72631578947368425</c:v>
                </c:pt>
                <c:pt idx="28">
                  <c:v>0.74193548387096775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ser>
          <c:idx val="10"/>
          <c:order val="10"/>
          <c:tx>
            <c:strRef>
              <c:f>'Act-Dropout_knn'!$A$11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'Act-Dropout_knn'!$B$11:$AD$11</c:f>
              <c:numCache>
                <c:formatCode>General</c:formatCode>
                <c:ptCount val="29"/>
                <c:pt idx="0">
                  <c:v>0.78160919540229867</c:v>
                </c:pt>
                <c:pt idx="1">
                  <c:v>0.78160919540229867</c:v>
                </c:pt>
                <c:pt idx="2">
                  <c:v>0.78160919540229867</c:v>
                </c:pt>
                <c:pt idx="3">
                  <c:v>0.78160919540229867</c:v>
                </c:pt>
                <c:pt idx="4">
                  <c:v>0.77380952380952384</c:v>
                </c:pt>
                <c:pt idx="5">
                  <c:v>0.77647058823529413</c:v>
                </c:pt>
                <c:pt idx="6">
                  <c:v>0.75159235668789803</c:v>
                </c:pt>
                <c:pt idx="7">
                  <c:v>0.78260869565217395</c:v>
                </c:pt>
                <c:pt idx="8">
                  <c:v>0.78145695364238399</c:v>
                </c:pt>
                <c:pt idx="9">
                  <c:v>0.76250000000000007</c:v>
                </c:pt>
                <c:pt idx="10">
                  <c:v>0.78666666666666663</c:v>
                </c:pt>
                <c:pt idx="11">
                  <c:v>0.79220779220779236</c:v>
                </c:pt>
                <c:pt idx="12">
                  <c:v>0.79487179487179493</c:v>
                </c:pt>
                <c:pt idx="13">
                  <c:v>0.79746835443037967</c:v>
                </c:pt>
                <c:pt idx="14">
                  <c:v>0.79746835443037967</c:v>
                </c:pt>
                <c:pt idx="15">
                  <c:v>0.79746835443037967</c:v>
                </c:pt>
                <c:pt idx="16">
                  <c:v>0.79220779220779236</c:v>
                </c:pt>
                <c:pt idx="17">
                  <c:v>0.80254777070063699</c:v>
                </c:pt>
                <c:pt idx="18">
                  <c:v>0.81927710843373491</c:v>
                </c:pt>
                <c:pt idx="19">
                  <c:v>0.80503144654088044</c:v>
                </c:pt>
                <c:pt idx="20">
                  <c:v>0.83636363636363642</c:v>
                </c:pt>
                <c:pt idx="21">
                  <c:v>0.79999999999999993</c:v>
                </c:pt>
                <c:pt idx="22">
                  <c:v>0.81987577639751563</c:v>
                </c:pt>
                <c:pt idx="23">
                  <c:v>0.82500000000000007</c:v>
                </c:pt>
                <c:pt idx="24">
                  <c:v>0.84337349397590355</c:v>
                </c:pt>
                <c:pt idx="25">
                  <c:v>0.83333333333333326</c:v>
                </c:pt>
                <c:pt idx="26">
                  <c:v>0.82634730538922163</c:v>
                </c:pt>
                <c:pt idx="27">
                  <c:v>0.82634730538922163</c:v>
                </c:pt>
                <c:pt idx="28">
                  <c:v>0.83636363636363642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DFC-4C63-93F1-3446050060A7}"/>
            </c:ext>
          </c:extLst>
        </c:ser>
        <c:ser>
          <c:idx val="11"/>
          <c:order val="11"/>
          <c:tx>
            <c:strRef>
              <c:f>'Act-Dropout_knn'!$A$12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'Act-Dropout_knn'!$B$12:$AD$12</c:f>
              <c:numCache>
                <c:formatCode>General</c:formatCode>
                <c:ptCount val="29"/>
                <c:pt idx="0">
                  <c:v>0.734375</c:v>
                </c:pt>
                <c:pt idx="1">
                  <c:v>0.734375</c:v>
                </c:pt>
                <c:pt idx="2">
                  <c:v>0.734375</c:v>
                </c:pt>
                <c:pt idx="3">
                  <c:v>0.734375</c:v>
                </c:pt>
                <c:pt idx="4">
                  <c:v>0.7578125</c:v>
                </c:pt>
                <c:pt idx="5">
                  <c:v>0.75</c:v>
                </c:pt>
                <c:pt idx="6">
                  <c:v>0.796875</c:v>
                </c:pt>
                <c:pt idx="7">
                  <c:v>0.796875</c:v>
                </c:pt>
                <c:pt idx="8">
                  <c:v>0.84375</c:v>
                </c:pt>
                <c:pt idx="9">
                  <c:v>0.7890625</c:v>
                </c:pt>
                <c:pt idx="10">
                  <c:v>0.8515625</c:v>
                </c:pt>
                <c:pt idx="11">
                  <c:v>0.8359375</c:v>
                </c:pt>
                <c:pt idx="12">
                  <c:v>0.828125</c:v>
                </c:pt>
                <c:pt idx="13">
                  <c:v>0.8203125</c:v>
                </c:pt>
                <c:pt idx="14">
                  <c:v>0.8203125</c:v>
                </c:pt>
                <c:pt idx="15">
                  <c:v>0.8203125</c:v>
                </c:pt>
                <c:pt idx="16">
                  <c:v>0.8359375</c:v>
                </c:pt>
                <c:pt idx="17">
                  <c:v>0.828125</c:v>
                </c:pt>
                <c:pt idx="18">
                  <c:v>0.796875</c:v>
                </c:pt>
                <c:pt idx="19">
                  <c:v>0.8203125</c:v>
                </c:pt>
                <c:pt idx="20">
                  <c:v>0.8125</c:v>
                </c:pt>
                <c:pt idx="21">
                  <c:v>0.8125</c:v>
                </c:pt>
                <c:pt idx="22">
                  <c:v>0.8203125</c:v>
                </c:pt>
                <c:pt idx="23">
                  <c:v>0.828125</c:v>
                </c:pt>
                <c:pt idx="24">
                  <c:v>0.8125</c:v>
                </c:pt>
                <c:pt idx="25">
                  <c:v>0.796875</c:v>
                </c:pt>
                <c:pt idx="26">
                  <c:v>0.796875</c:v>
                </c:pt>
                <c:pt idx="27">
                  <c:v>0.796875</c:v>
                </c:pt>
                <c:pt idx="28">
                  <c:v>0.8125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'Act-Dropout_knn'!$A$1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'Act-Dropout_knn'!$B$1:$AD$1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68</c:v>
                      </c:pt>
                      <c:pt idx="1">
                        <c:v>68</c:v>
                      </c:pt>
                      <c:pt idx="2">
                        <c:v>68</c:v>
                      </c:pt>
                      <c:pt idx="3">
                        <c:v>68</c:v>
                      </c:pt>
                      <c:pt idx="4">
                        <c:v>65</c:v>
                      </c:pt>
                      <c:pt idx="5">
                        <c:v>66</c:v>
                      </c:pt>
                      <c:pt idx="6">
                        <c:v>59</c:v>
                      </c:pt>
                      <c:pt idx="7">
                        <c:v>63</c:v>
                      </c:pt>
                      <c:pt idx="8">
                        <c:v>59</c:v>
                      </c:pt>
                      <c:pt idx="9">
                        <c:v>61</c:v>
                      </c:pt>
                      <c:pt idx="10">
                        <c:v>59</c:v>
                      </c:pt>
                      <c:pt idx="11">
                        <c:v>61</c:v>
                      </c:pt>
                      <c:pt idx="12">
                        <c:v>62</c:v>
                      </c:pt>
                      <c:pt idx="13">
                        <c:v>63</c:v>
                      </c:pt>
                      <c:pt idx="14">
                        <c:v>63</c:v>
                      </c:pt>
                      <c:pt idx="15">
                        <c:v>63</c:v>
                      </c:pt>
                      <c:pt idx="16">
                        <c:v>61</c:v>
                      </c:pt>
                      <c:pt idx="17">
                        <c:v>63</c:v>
                      </c:pt>
                      <c:pt idx="18">
                        <c:v>68</c:v>
                      </c:pt>
                      <c:pt idx="19">
                        <c:v>64</c:v>
                      </c:pt>
                      <c:pt idx="20">
                        <c:v>69</c:v>
                      </c:pt>
                      <c:pt idx="21">
                        <c:v>64</c:v>
                      </c:pt>
                      <c:pt idx="22">
                        <c:v>66</c:v>
                      </c:pt>
                      <c:pt idx="23">
                        <c:v>66</c:v>
                      </c:pt>
                      <c:pt idx="24">
                        <c:v>70</c:v>
                      </c:pt>
                      <c:pt idx="25">
                        <c:v>70</c:v>
                      </c:pt>
                      <c:pt idx="26">
                        <c:v>69</c:v>
                      </c:pt>
                      <c:pt idx="27">
                        <c:v>69</c:v>
                      </c:pt>
                      <c:pt idx="28">
                        <c:v>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7</c:v>
                      </c:pt>
                      <c:pt idx="5">
                        <c:v>6</c:v>
                      </c:pt>
                      <c:pt idx="6">
                        <c:v>13</c:v>
                      </c:pt>
                      <c:pt idx="7">
                        <c:v>9</c:v>
                      </c:pt>
                      <c:pt idx="8">
                        <c:v>13</c:v>
                      </c:pt>
                      <c:pt idx="9">
                        <c:v>11</c:v>
                      </c:pt>
                      <c:pt idx="10">
                        <c:v>13</c:v>
                      </c:pt>
                      <c:pt idx="11">
                        <c:v>11</c:v>
                      </c:pt>
                      <c:pt idx="12">
                        <c:v>10</c:v>
                      </c:pt>
                      <c:pt idx="13">
                        <c:v>9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11</c:v>
                      </c:pt>
                      <c:pt idx="17">
                        <c:v>9</c:v>
                      </c:pt>
                      <c:pt idx="18">
                        <c:v>4</c:v>
                      </c:pt>
                      <c:pt idx="19">
                        <c:v>8</c:v>
                      </c:pt>
                      <c:pt idx="20">
                        <c:v>3</c:v>
                      </c:pt>
                      <c:pt idx="21">
                        <c:v>8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34</c:v>
                      </c:pt>
                      <c:pt idx="4">
                        <c:v>31</c:v>
                      </c:pt>
                      <c:pt idx="5">
                        <c:v>32</c:v>
                      </c:pt>
                      <c:pt idx="6">
                        <c:v>26</c:v>
                      </c:pt>
                      <c:pt idx="7">
                        <c:v>26</c:v>
                      </c:pt>
                      <c:pt idx="8">
                        <c:v>20</c:v>
                      </c:pt>
                      <c:pt idx="9">
                        <c:v>27</c:v>
                      </c:pt>
                      <c:pt idx="10">
                        <c:v>19</c:v>
                      </c:pt>
                      <c:pt idx="11">
                        <c:v>21</c:v>
                      </c:pt>
                      <c:pt idx="12">
                        <c:v>22</c:v>
                      </c:pt>
                      <c:pt idx="13">
                        <c:v>23</c:v>
                      </c:pt>
                      <c:pt idx="14">
                        <c:v>23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22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24</c:v>
                      </c:pt>
                      <c:pt idx="21">
                        <c:v>24</c:v>
                      </c:pt>
                      <c:pt idx="22">
                        <c:v>23</c:v>
                      </c:pt>
                      <c:pt idx="23">
                        <c:v>22</c:v>
                      </c:pt>
                      <c:pt idx="24">
                        <c:v>24</c:v>
                      </c:pt>
                      <c:pt idx="25">
                        <c:v>26</c:v>
                      </c:pt>
                      <c:pt idx="26">
                        <c:v>26</c:v>
                      </c:pt>
                      <c:pt idx="27">
                        <c:v>26</c:v>
                      </c:pt>
                      <c:pt idx="28">
                        <c:v>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94</c:v>
                      </c:pt>
                      <c:pt idx="1">
                        <c:v>94</c:v>
                      </c:pt>
                      <c:pt idx="2">
                        <c:v>94</c:v>
                      </c:pt>
                      <c:pt idx="3">
                        <c:v>94</c:v>
                      </c:pt>
                      <c:pt idx="4">
                        <c:v>97</c:v>
                      </c:pt>
                      <c:pt idx="5">
                        <c:v>96</c:v>
                      </c:pt>
                      <c:pt idx="6">
                        <c:v>102</c:v>
                      </c:pt>
                      <c:pt idx="7">
                        <c:v>102</c:v>
                      </c:pt>
                      <c:pt idx="8">
                        <c:v>108</c:v>
                      </c:pt>
                      <c:pt idx="9">
                        <c:v>101</c:v>
                      </c:pt>
                      <c:pt idx="10">
                        <c:v>109</c:v>
                      </c:pt>
                      <c:pt idx="11">
                        <c:v>107</c:v>
                      </c:pt>
                      <c:pt idx="12">
                        <c:v>106</c:v>
                      </c:pt>
                      <c:pt idx="13">
                        <c:v>105</c:v>
                      </c:pt>
                      <c:pt idx="14">
                        <c:v>105</c:v>
                      </c:pt>
                      <c:pt idx="15">
                        <c:v>105</c:v>
                      </c:pt>
                      <c:pt idx="16">
                        <c:v>107</c:v>
                      </c:pt>
                      <c:pt idx="17">
                        <c:v>106</c:v>
                      </c:pt>
                      <c:pt idx="18">
                        <c:v>102</c:v>
                      </c:pt>
                      <c:pt idx="19">
                        <c:v>105</c:v>
                      </c:pt>
                      <c:pt idx="20">
                        <c:v>104</c:v>
                      </c:pt>
                      <c:pt idx="21">
                        <c:v>104</c:v>
                      </c:pt>
                      <c:pt idx="22">
                        <c:v>105</c:v>
                      </c:pt>
                      <c:pt idx="23">
                        <c:v>106</c:v>
                      </c:pt>
                      <c:pt idx="24">
                        <c:v>104</c:v>
                      </c:pt>
                      <c:pt idx="25">
                        <c:v>102</c:v>
                      </c:pt>
                      <c:pt idx="26">
                        <c:v>102</c:v>
                      </c:pt>
                      <c:pt idx="27">
                        <c:v>102</c:v>
                      </c:pt>
                      <c:pt idx="28">
                        <c:v>104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'Act-Dropout_knn'!$B$8:$AD$8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0.18999999999999995</c:v>
                      </c:pt>
                      <c:pt idx="1">
                        <c:v>0.18999999999999995</c:v>
                      </c:pt>
                      <c:pt idx="2">
                        <c:v>0.18999999999999995</c:v>
                      </c:pt>
                      <c:pt idx="3">
                        <c:v>0.18999999999999995</c:v>
                      </c:pt>
                      <c:pt idx="4">
                        <c:v>0.18999999999999995</c:v>
                      </c:pt>
                      <c:pt idx="5">
                        <c:v>0.18999999999999995</c:v>
                      </c:pt>
                      <c:pt idx="6">
                        <c:v>0.19499999999999995</c:v>
                      </c:pt>
                      <c:pt idx="7">
                        <c:v>0.17500000000000004</c:v>
                      </c:pt>
                      <c:pt idx="8">
                        <c:v>0.16500000000000004</c:v>
                      </c:pt>
                      <c:pt idx="9">
                        <c:v>0.18999999999999995</c:v>
                      </c:pt>
                      <c:pt idx="10">
                        <c:v>0.16000000000000003</c:v>
                      </c:pt>
                      <c:pt idx="11">
                        <c:v>0.16000000000000003</c:v>
                      </c:pt>
                      <c:pt idx="12">
                        <c:v>0.16000000000000003</c:v>
                      </c:pt>
                      <c:pt idx="13">
                        <c:v>0.16000000000000003</c:v>
                      </c:pt>
                      <c:pt idx="14">
                        <c:v>0.16000000000000003</c:v>
                      </c:pt>
                      <c:pt idx="15">
                        <c:v>0.16000000000000003</c:v>
                      </c:pt>
                      <c:pt idx="16">
                        <c:v>0.16000000000000003</c:v>
                      </c:pt>
                      <c:pt idx="17">
                        <c:v>0.15500000000000003</c:v>
                      </c:pt>
                      <c:pt idx="18">
                        <c:v>0.15000000000000002</c:v>
                      </c:pt>
                      <c:pt idx="19">
                        <c:v>0.15500000000000003</c:v>
                      </c:pt>
                      <c:pt idx="20">
                        <c:v>0.13500000000000001</c:v>
                      </c:pt>
                      <c:pt idx="21">
                        <c:v>0.16000000000000003</c:v>
                      </c:pt>
                      <c:pt idx="22">
                        <c:v>0.14500000000000002</c:v>
                      </c:pt>
                      <c:pt idx="23">
                        <c:v>0.14000000000000001</c:v>
                      </c:pt>
                      <c:pt idx="24">
                        <c:v>0.13</c:v>
                      </c:pt>
                      <c:pt idx="25">
                        <c:v>0.14000000000000001</c:v>
                      </c:pt>
                      <c:pt idx="26">
                        <c:v>0.14500000000000002</c:v>
                      </c:pt>
                      <c:pt idx="27">
                        <c:v>0.14500000000000002</c:v>
                      </c:pt>
                      <c:pt idx="28">
                        <c:v>0.13500000000000001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0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zoomScale="115" zoomScaleNormal="115" workbookViewId="0">
      <selection activeCell="AD5" sqref="AD5"/>
    </sheetView>
  </sheetViews>
  <sheetFormatPr baseColWidth="10" defaultRowHeight="15" x14ac:dyDescent="0.25"/>
  <cols>
    <col min="1" max="1" width="22.42578125" customWidth="1"/>
    <col min="2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9</v>
      </c>
      <c r="B2" s="1">
        <v>83</v>
      </c>
      <c r="C2" s="1">
        <v>83</v>
      </c>
      <c r="D2" s="1">
        <v>84</v>
      </c>
      <c r="E2" s="1">
        <v>84</v>
      </c>
      <c r="F2" s="1">
        <v>84</v>
      </c>
      <c r="G2" s="1">
        <v>84</v>
      </c>
      <c r="H2" s="1">
        <v>84</v>
      </c>
      <c r="I2" s="1">
        <v>85</v>
      </c>
      <c r="J2" s="1">
        <v>87</v>
      </c>
      <c r="K2" s="1">
        <v>86</v>
      </c>
      <c r="L2" s="1">
        <v>88</v>
      </c>
      <c r="M2" s="1">
        <v>89</v>
      </c>
      <c r="N2" s="1">
        <v>89</v>
      </c>
      <c r="O2" s="1">
        <v>89</v>
      </c>
      <c r="P2" s="1">
        <v>88</v>
      </c>
      <c r="Q2" s="1">
        <v>88</v>
      </c>
      <c r="R2" s="1">
        <v>90</v>
      </c>
      <c r="S2" s="1">
        <v>89</v>
      </c>
      <c r="T2" s="1">
        <v>89</v>
      </c>
      <c r="U2" s="1">
        <v>90</v>
      </c>
      <c r="V2" s="1">
        <v>91</v>
      </c>
      <c r="W2" s="1">
        <v>91</v>
      </c>
      <c r="X2" s="1">
        <v>91</v>
      </c>
      <c r="Y2" s="1">
        <v>91</v>
      </c>
      <c r="Z2" s="1">
        <v>91</v>
      </c>
      <c r="AA2" s="1">
        <v>91</v>
      </c>
      <c r="AB2" s="1">
        <v>90</v>
      </c>
      <c r="AC2" s="1">
        <v>91</v>
      </c>
      <c r="AD2" s="1">
        <v>89</v>
      </c>
    </row>
    <row r="3" spans="1:30" x14ac:dyDescent="0.25">
      <c r="A3" t="s">
        <v>10</v>
      </c>
      <c r="B3" s="1">
        <v>11</v>
      </c>
      <c r="C3" s="1">
        <v>11</v>
      </c>
      <c r="D3" s="1">
        <v>10</v>
      </c>
      <c r="E3" s="1">
        <v>10</v>
      </c>
      <c r="F3" s="1">
        <v>10</v>
      </c>
      <c r="G3" s="1">
        <v>10</v>
      </c>
      <c r="H3" s="1">
        <v>10</v>
      </c>
      <c r="I3" s="1">
        <v>9</v>
      </c>
      <c r="J3" s="1">
        <v>7</v>
      </c>
      <c r="K3" s="1">
        <v>8</v>
      </c>
      <c r="L3" s="1">
        <v>6</v>
      </c>
      <c r="M3" s="1">
        <v>5</v>
      </c>
      <c r="N3" s="1">
        <v>5</v>
      </c>
      <c r="O3" s="1">
        <v>5</v>
      </c>
      <c r="P3" s="1">
        <v>6</v>
      </c>
      <c r="Q3" s="1">
        <v>6</v>
      </c>
      <c r="R3" s="1">
        <v>4</v>
      </c>
      <c r="S3" s="1">
        <v>5</v>
      </c>
      <c r="T3" s="1">
        <v>5</v>
      </c>
      <c r="U3" s="1">
        <v>4</v>
      </c>
      <c r="V3" s="1">
        <v>3</v>
      </c>
      <c r="W3" s="1">
        <v>3</v>
      </c>
      <c r="X3" s="1">
        <v>3</v>
      </c>
      <c r="Y3" s="1">
        <v>3</v>
      </c>
      <c r="Z3" s="1">
        <v>3</v>
      </c>
      <c r="AA3" s="1">
        <v>3</v>
      </c>
      <c r="AB3" s="1">
        <v>4</v>
      </c>
      <c r="AC3" s="1">
        <v>3</v>
      </c>
      <c r="AD3" s="1">
        <v>5</v>
      </c>
    </row>
    <row r="4" spans="1:30" x14ac:dyDescent="0.25">
      <c r="A4" t="s">
        <v>11</v>
      </c>
      <c r="B4" s="1">
        <v>14</v>
      </c>
      <c r="C4" s="1">
        <v>14</v>
      </c>
      <c r="D4" s="1">
        <v>14</v>
      </c>
      <c r="E4" s="1">
        <v>14</v>
      </c>
      <c r="F4" s="1">
        <v>16</v>
      </c>
      <c r="G4" s="1">
        <v>14</v>
      </c>
      <c r="H4" s="1">
        <v>15</v>
      </c>
      <c r="I4" s="1">
        <v>16</v>
      </c>
      <c r="J4" s="1">
        <v>23</v>
      </c>
      <c r="K4" s="1">
        <v>19</v>
      </c>
      <c r="L4" s="1">
        <v>23</v>
      </c>
      <c r="M4" s="1">
        <v>20</v>
      </c>
      <c r="N4" s="1">
        <v>17</v>
      </c>
      <c r="O4" s="1">
        <v>17</v>
      </c>
      <c r="P4" s="1">
        <v>16</v>
      </c>
      <c r="Q4" s="1">
        <v>16</v>
      </c>
      <c r="R4" s="1">
        <v>16</v>
      </c>
      <c r="S4" s="1">
        <v>17</v>
      </c>
      <c r="T4" s="1">
        <v>12</v>
      </c>
      <c r="U4" s="1">
        <v>13</v>
      </c>
      <c r="V4" s="1">
        <v>12</v>
      </c>
      <c r="W4" s="1">
        <v>12</v>
      </c>
      <c r="X4" s="1">
        <v>13</v>
      </c>
      <c r="Y4" s="1">
        <v>12</v>
      </c>
      <c r="Z4" s="1">
        <v>12</v>
      </c>
      <c r="AA4" s="1">
        <v>10</v>
      </c>
      <c r="AB4" s="1">
        <v>8</v>
      </c>
      <c r="AC4" s="1">
        <v>10</v>
      </c>
      <c r="AD4" s="1">
        <v>9</v>
      </c>
    </row>
    <row r="5" spans="1:30" x14ac:dyDescent="0.25">
      <c r="A5" t="s">
        <v>12</v>
      </c>
      <c r="B5" s="1">
        <f t="shared" ref="B5:G5" si="0">200-B2-B3-B4</f>
        <v>92</v>
      </c>
      <c r="C5" s="1">
        <f t="shared" si="0"/>
        <v>92</v>
      </c>
      <c r="D5" s="1">
        <f t="shared" si="0"/>
        <v>92</v>
      </c>
      <c r="E5" s="1">
        <f t="shared" si="0"/>
        <v>92</v>
      </c>
      <c r="F5" s="1">
        <f t="shared" si="0"/>
        <v>90</v>
      </c>
      <c r="G5" s="1">
        <f t="shared" si="0"/>
        <v>92</v>
      </c>
      <c r="H5" s="1">
        <f>200-H2-H3-H4</f>
        <v>91</v>
      </c>
      <c r="I5" s="1">
        <f t="shared" ref="I5:AD5" si="1">200-I2-I3-I4</f>
        <v>90</v>
      </c>
      <c r="J5" s="1">
        <f t="shared" si="1"/>
        <v>83</v>
      </c>
      <c r="K5" s="1">
        <f t="shared" si="1"/>
        <v>87</v>
      </c>
      <c r="L5" s="1">
        <f t="shared" si="1"/>
        <v>83</v>
      </c>
      <c r="M5" s="1">
        <f t="shared" si="1"/>
        <v>86</v>
      </c>
      <c r="N5" s="1">
        <f t="shared" si="1"/>
        <v>89</v>
      </c>
      <c r="O5" s="1">
        <f t="shared" si="1"/>
        <v>89</v>
      </c>
      <c r="P5" s="1">
        <f t="shared" si="1"/>
        <v>90</v>
      </c>
      <c r="Q5" s="1">
        <f t="shared" si="1"/>
        <v>90</v>
      </c>
      <c r="R5" s="1">
        <f t="shared" si="1"/>
        <v>90</v>
      </c>
      <c r="S5" s="1">
        <f t="shared" si="1"/>
        <v>89</v>
      </c>
      <c r="T5" s="1">
        <f>200-T2-T3-T4</f>
        <v>94</v>
      </c>
      <c r="U5" s="1">
        <f t="shared" si="1"/>
        <v>93</v>
      </c>
      <c r="V5" s="1">
        <f t="shared" si="1"/>
        <v>94</v>
      </c>
      <c r="W5" s="1">
        <f t="shared" si="1"/>
        <v>94</v>
      </c>
      <c r="X5" s="1">
        <f>200-X2-X3-X4</f>
        <v>93</v>
      </c>
      <c r="Y5" s="1">
        <f t="shared" si="1"/>
        <v>94</v>
      </c>
      <c r="Z5" s="1">
        <f t="shared" si="1"/>
        <v>94</v>
      </c>
      <c r="AA5" s="1">
        <f>200-AA2-AA3-AA4</f>
        <v>96</v>
      </c>
      <c r="AB5" s="1">
        <f t="shared" si="1"/>
        <v>98</v>
      </c>
      <c r="AC5" s="1">
        <f>200-AC2-AC3-AC4</f>
        <v>96</v>
      </c>
      <c r="AD5" s="1">
        <f t="shared" si="1"/>
        <v>97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0.875</v>
      </c>
      <c r="C7" s="1">
        <f t="shared" ref="C7:AD7" si="3">(C5+C2)/C6</f>
        <v>0.875</v>
      </c>
      <c r="D7" s="1">
        <f t="shared" si="3"/>
        <v>0.88</v>
      </c>
      <c r="E7" s="1">
        <f t="shared" si="3"/>
        <v>0.88</v>
      </c>
      <c r="F7" s="1">
        <f t="shared" si="3"/>
        <v>0.87</v>
      </c>
      <c r="G7" s="1">
        <f t="shared" si="3"/>
        <v>0.88</v>
      </c>
      <c r="H7" s="1">
        <f t="shared" si="3"/>
        <v>0.875</v>
      </c>
      <c r="I7" s="1">
        <f t="shared" si="3"/>
        <v>0.875</v>
      </c>
      <c r="J7" s="1">
        <f t="shared" si="3"/>
        <v>0.85</v>
      </c>
      <c r="K7" s="1">
        <f t="shared" si="3"/>
        <v>0.86499999999999999</v>
      </c>
      <c r="L7" s="1">
        <f t="shared" si="3"/>
        <v>0.85499999999999998</v>
      </c>
      <c r="M7" s="1">
        <f t="shared" si="3"/>
        <v>0.875</v>
      </c>
      <c r="N7" s="1">
        <f t="shared" si="3"/>
        <v>0.89</v>
      </c>
      <c r="O7" s="1">
        <f t="shared" si="3"/>
        <v>0.89</v>
      </c>
      <c r="P7" s="1">
        <f t="shared" si="3"/>
        <v>0.89</v>
      </c>
      <c r="Q7" s="1">
        <f t="shared" si="3"/>
        <v>0.89</v>
      </c>
      <c r="R7" s="1">
        <f t="shared" si="3"/>
        <v>0.9</v>
      </c>
      <c r="S7" s="1">
        <f t="shared" si="3"/>
        <v>0.89</v>
      </c>
      <c r="T7" s="1">
        <f t="shared" si="3"/>
        <v>0.91500000000000004</v>
      </c>
      <c r="U7" s="1">
        <f t="shared" si="3"/>
        <v>0.91500000000000004</v>
      </c>
      <c r="V7" s="1">
        <f t="shared" si="3"/>
        <v>0.92500000000000004</v>
      </c>
      <c r="W7" s="1">
        <f t="shared" si="3"/>
        <v>0.92500000000000004</v>
      </c>
      <c r="X7" s="1">
        <f t="shared" si="3"/>
        <v>0.92</v>
      </c>
      <c r="Y7" s="1">
        <f t="shared" si="3"/>
        <v>0.92500000000000004</v>
      </c>
      <c r="Z7" s="1">
        <f t="shared" si="3"/>
        <v>0.92500000000000004</v>
      </c>
      <c r="AA7" s="1">
        <f t="shared" si="3"/>
        <v>0.93500000000000005</v>
      </c>
      <c r="AB7" s="1">
        <f t="shared" si="3"/>
        <v>0.94</v>
      </c>
      <c r="AC7" s="1">
        <f t="shared" si="3"/>
        <v>0.93500000000000005</v>
      </c>
      <c r="AD7" s="1">
        <f t="shared" si="3"/>
        <v>0.93</v>
      </c>
    </row>
    <row r="8" spans="1:30" x14ac:dyDescent="0.25">
      <c r="A8" t="s">
        <v>1</v>
      </c>
      <c r="B8" s="1">
        <f>1-B7</f>
        <v>0.125</v>
      </c>
      <c r="C8" s="1">
        <f t="shared" ref="C8:AD8" si="4">1-C7</f>
        <v>0.125</v>
      </c>
      <c r="D8" s="1">
        <f t="shared" si="4"/>
        <v>0.12</v>
      </c>
      <c r="E8" s="1">
        <f t="shared" si="4"/>
        <v>0.12</v>
      </c>
      <c r="F8" s="1">
        <f t="shared" si="4"/>
        <v>0.13</v>
      </c>
      <c r="G8" s="1">
        <f t="shared" si="4"/>
        <v>0.12</v>
      </c>
      <c r="H8" s="1">
        <f t="shared" si="4"/>
        <v>0.125</v>
      </c>
      <c r="I8" s="1">
        <f t="shared" si="4"/>
        <v>0.125</v>
      </c>
      <c r="J8" s="1">
        <f t="shared" si="4"/>
        <v>0.15000000000000002</v>
      </c>
      <c r="K8" s="1">
        <f t="shared" si="4"/>
        <v>0.13500000000000001</v>
      </c>
      <c r="L8" s="1">
        <f t="shared" si="4"/>
        <v>0.14500000000000002</v>
      </c>
      <c r="M8" s="1">
        <f t="shared" si="4"/>
        <v>0.125</v>
      </c>
      <c r="N8" s="1">
        <f t="shared" si="4"/>
        <v>0.10999999999999999</v>
      </c>
      <c r="O8" s="1">
        <f t="shared" si="4"/>
        <v>0.10999999999999999</v>
      </c>
      <c r="P8" s="1">
        <f t="shared" si="4"/>
        <v>0.10999999999999999</v>
      </c>
      <c r="Q8" s="1">
        <f t="shared" si="4"/>
        <v>0.10999999999999999</v>
      </c>
      <c r="R8" s="1">
        <f t="shared" si="4"/>
        <v>9.9999999999999978E-2</v>
      </c>
      <c r="S8" s="1">
        <f t="shared" si="4"/>
        <v>0.10999999999999999</v>
      </c>
      <c r="T8" s="1">
        <f t="shared" si="4"/>
        <v>8.4999999999999964E-2</v>
      </c>
      <c r="U8" s="1">
        <f t="shared" si="4"/>
        <v>8.4999999999999964E-2</v>
      </c>
      <c r="V8" s="1">
        <f t="shared" si="4"/>
        <v>7.4999999999999956E-2</v>
      </c>
      <c r="W8" s="1">
        <f t="shared" si="4"/>
        <v>7.4999999999999956E-2</v>
      </c>
      <c r="X8" s="1">
        <f t="shared" si="4"/>
        <v>7.999999999999996E-2</v>
      </c>
      <c r="Y8" s="1">
        <f t="shared" si="4"/>
        <v>7.4999999999999956E-2</v>
      </c>
      <c r="Z8" s="1">
        <f t="shared" si="4"/>
        <v>7.4999999999999956E-2</v>
      </c>
      <c r="AA8" s="1">
        <f t="shared" si="4"/>
        <v>6.4999999999999947E-2</v>
      </c>
      <c r="AB8" s="1">
        <f t="shared" si="4"/>
        <v>6.0000000000000053E-2</v>
      </c>
      <c r="AC8" s="1">
        <f t="shared" si="4"/>
        <v>6.4999999999999947E-2</v>
      </c>
      <c r="AD8" s="1">
        <f t="shared" si="4"/>
        <v>6.9999999999999951E-2</v>
      </c>
    </row>
    <row r="9" spans="1:30" x14ac:dyDescent="0.25">
      <c r="A9" t="s">
        <v>52</v>
      </c>
      <c r="B9" s="1">
        <f>B2/(B2+B3)</f>
        <v>0.88297872340425532</v>
      </c>
      <c r="C9" s="1">
        <f t="shared" ref="C9:AD9" si="5">C2/(C2+C3)</f>
        <v>0.88297872340425532</v>
      </c>
      <c r="D9" s="1">
        <f t="shared" si="5"/>
        <v>0.8936170212765957</v>
      </c>
      <c r="E9" s="1">
        <f t="shared" si="5"/>
        <v>0.8936170212765957</v>
      </c>
      <c r="F9" s="1">
        <f t="shared" si="5"/>
        <v>0.8936170212765957</v>
      </c>
      <c r="G9" s="1">
        <f t="shared" si="5"/>
        <v>0.8936170212765957</v>
      </c>
      <c r="H9" s="1">
        <f t="shared" si="5"/>
        <v>0.8936170212765957</v>
      </c>
      <c r="I9" s="1">
        <f t="shared" si="5"/>
        <v>0.9042553191489362</v>
      </c>
      <c r="J9" s="1">
        <f t="shared" si="5"/>
        <v>0.92553191489361697</v>
      </c>
      <c r="K9" s="1">
        <f t="shared" si="5"/>
        <v>0.91489361702127658</v>
      </c>
      <c r="L9" s="1">
        <f t="shared" si="5"/>
        <v>0.93617021276595747</v>
      </c>
      <c r="M9" s="1">
        <f t="shared" si="5"/>
        <v>0.94680851063829785</v>
      </c>
      <c r="N9" s="1">
        <f t="shared" si="5"/>
        <v>0.94680851063829785</v>
      </c>
      <c r="O9" s="1">
        <f t="shared" si="5"/>
        <v>0.94680851063829785</v>
      </c>
      <c r="P9" s="1">
        <f t="shared" si="5"/>
        <v>0.93617021276595747</v>
      </c>
      <c r="Q9" s="1">
        <f t="shared" si="5"/>
        <v>0.93617021276595747</v>
      </c>
      <c r="R9" s="1">
        <f t="shared" si="5"/>
        <v>0.95744680851063835</v>
      </c>
      <c r="S9" s="1">
        <f t="shared" si="5"/>
        <v>0.94680851063829785</v>
      </c>
      <c r="T9" s="1">
        <f t="shared" si="5"/>
        <v>0.94680851063829785</v>
      </c>
      <c r="U9" s="1">
        <f t="shared" si="5"/>
        <v>0.95744680851063835</v>
      </c>
      <c r="V9" s="1">
        <f t="shared" si="5"/>
        <v>0.96808510638297873</v>
      </c>
      <c r="W9" s="1">
        <f t="shared" si="5"/>
        <v>0.96808510638297873</v>
      </c>
      <c r="X9" s="1">
        <f t="shared" si="5"/>
        <v>0.96808510638297873</v>
      </c>
      <c r="Y9" s="1">
        <f t="shared" si="5"/>
        <v>0.96808510638297873</v>
      </c>
      <c r="Z9" s="1">
        <f t="shared" si="5"/>
        <v>0.96808510638297873</v>
      </c>
      <c r="AA9" s="1">
        <f t="shared" si="5"/>
        <v>0.96808510638297873</v>
      </c>
      <c r="AB9" s="1">
        <f t="shared" si="5"/>
        <v>0.95744680851063835</v>
      </c>
      <c r="AC9" s="1">
        <f t="shared" si="5"/>
        <v>0.96808510638297873</v>
      </c>
      <c r="AD9" s="1">
        <f t="shared" si="5"/>
        <v>0.94680851063829785</v>
      </c>
    </row>
    <row r="10" spans="1:30" x14ac:dyDescent="0.25">
      <c r="A10" t="s">
        <v>53</v>
      </c>
      <c r="B10" s="1">
        <f>B2/(B2+B4)</f>
        <v>0.85567010309278346</v>
      </c>
      <c r="C10" s="1">
        <f t="shared" ref="C10:AD10" si="6">C2/(C2+C4)</f>
        <v>0.85567010309278346</v>
      </c>
      <c r="D10" s="1">
        <f t="shared" si="6"/>
        <v>0.8571428571428571</v>
      </c>
      <c r="E10" s="1">
        <f t="shared" si="6"/>
        <v>0.8571428571428571</v>
      </c>
      <c r="F10" s="1">
        <f t="shared" si="6"/>
        <v>0.84</v>
      </c>
      <c r="G10" s="1">
        <f t="shared" si="6"/>
        <v>0.8571428571428571</v>
      </c>
      <c r="H10" s="1">
        <f t="shared" si="6"/>
        <v>0.84848484848484851</v>
      </c>
      <c r="I10" s="1">
        <f t="shared" si="6"/>
        <v>0.84158415841584155</v>
      </c>
      <c r="J10" s="1">
        <f t="shared" si="6"/>
        <v>0.79090909090909089</v>
      </c>
      <c r="K10" s="1">
        <f t="shared" si="6"/>
        <v>0.81904761904761902</v>
      </c>
      <c r="L10" s="1">
        <f t="shared" si="6"/>
        <v>0.7927927927927928</v>
      </c>
      <c r="M10" s="1">
        <f t="shared" si="6"/>
        <v>0.8165137614678899</v>
      </c>
      <c r="N10" s="1">
        <f t="shared" si="6"/>
        <v>0.839622641509434</v>
      </c>
      <c r="O10" s="1">
        <f t="shared" si="6"/>
        <v>0.839622641509434</v>
      </c>
      <c r="P10" s="1">
        <f t="shared" si="6"/>
        <v>0.84615384615384615</v>
      </c>
      <c r="Q10" s="1">
        <f t="shared" si="6"/>
        <v>0.84615384615384615</v>
      </c>
      <c r="R10" s="1">
        <f t="shared" si="6"/>
        <v>0.84905660377358494</v>
      </c>
      <c r="S10" s="1">
        <f t="shared" si="6"/>
        <v>0.839622641509434</v>
      </c>
      <c r="T10" s="1">
        <f t="shared" si="6"/>
        <v>0.88118811881188119</v>
      </c>
      <c r="U10" s="1">
        <f t="shared" si="6"/>
        <v>0.87378640776699024</v>
      </c>
      <c r="V10" s="1">
        <f t="shared" si="6"/>
        <v>0.88349514563106801</v>
      </c>
      <c r="W10" s="1">
        <f t="shared" si="6"/>
        <v>0.88349514563106801</v>
      </c>
      <c r="X10" s="1">
        <f t="shared" si="6"/>
        <v>0.875</v>
      </c>
      <c r="Y10" s="1">
        <f t="shared" si="6"/>
        <v>0.88349514563106801</v>
      </c>
      <c r="Z10" s="1">
        <f t="shared" si="6"/>
        <v>0.88349514563106801</v>
      </c>
      <c r="AA10" s="1">
        <f t="shared" si="6"/>
        <v>0.90099009900990101</v>
      </c>
      <c r="AB10" s="1">
        <f t="shared" si="6"/>
        <v>0.91836734693877553</v>
      </c>
      <c r="AC10" s="1">
        <f t="shared" si="6"/>
        <v>0.90099009900990101</v>
      </c>
      <c r="AD10" s="1">
        <f t="shared" si="6"/>
        <v>0.90816326530612246</v>
      </c>
    </row>
    <row r="11" spans="1:30" x14ac:dyDescent="0.25">
      <c r="A11" t="s">
        <v>13</v>
      </c>
      <c r="B11" s="1">
        <f>2*B9*B10/(B9+B10)</f>
        <v>0.86910994764397909</v>
      </c>
      <c r="C11" s="1">
        <f t="shared" ref="C11:AD11" si="7">2*C9*C10/(C9+C10)</f>
        <v>0.86910994764397909</v>
      </c>
      <c r="D11" s="1">
        <f t="shared" si="7"/>
        <v>0.875</v>
      </c>
      <c r="E11" s="1">
        <f t="shared" si="7"/>
        <v>0.875</v>
      </c>
      <c r="F11" s="1">
        <f t="shared" si="7"/>
        <v>0.86597938144329889</v>
      </c>
      <c r="G11" s="1">
        <f t="shared" si="7"/>
        <v>0.875</v>
      </c>
      <c r="H11" s="1">
        <f t="shared" si="7"/>
        <v>0.8704663212435233</v>
      </c>
      <c r="I11" s="1">
        <f t="shared" si="7"/>
        <v>0.87179487179487181</v>
      </c>
      <c r="J11" s="1">
        <f t="shared" si="7"/>
        <v>0.8529411764705882</v>
      </c>
      <c r="K11" s="1">
        <f t="shared" si="7"/>
        <v>0.86432160804020097</v>
      </c>
      <c r="L11" s="1">
        <f t="shared" si="7"/>
        <v>0.85853658536585375</v>
      </c>
      <c r="M11" s="1">
        <f t="shared" si="7"/>
        <v>0.87684729064039391</v>
      </c>
      <c r="N11" s="1">
        <f t="shared" si="7"/>
        <v>0.89</v>
      </c>
      <c r="O11" s="1">
        <f t="shared" si="7"/>
        <v>0.89</v>
      </c>
      <c r="P11" s="1">
        <f t="shared" si="7"/>
        <v>0.88888888888888884</v>
      </c>
      <c r="Q11" s="1">
        <f t="shared" si="7"/>
        <v>0.88888888888888884</v>
      </c>
      <c r="R11" s="1">
        <f t="shared" si="7"/>
        <v>0.9</v>
      </c>
      <c r="S11" s="1">
        <f t="shared" si="7"/>
        <v>0.89</v>
      </c>
      <c r="T11" s="1">
        <f t="shared" si="7"/>
        <v>0.9128205128205128</v>
      </c>
      <c r="U11" s="1">
        <f t="shared" si="7"/>
        <v>0.91370558375634514</v>
      </c>
      <c r="V11" s="1">
        <f t="shared" si="7"/>
        <v>0.92385786802030456</v>
      </c>
      <c r="W11" s="1">
        <f t="shared" si="7"/>
        <v>0.92385786802030456</v>
      </c>
      <c r="X11" s="1">
        <f t="shared" si="7"/>
        <v>0.91919191919191912</v>
      </c>
      <c r="Y11" s="1">
        <f t="shared" si="7"/>
        <v>0.92385786802030456</v>
      </c>
      <c r="Z11" s="1">
        <f t="shared" si="7"/>
        <v>0.92385786802030456</v>
      </c>
      <c r="AA11" s="1">
        <f t="shared" si="7"/>
        <v>0.93333333333333346</v>
      </c>
      <c r="AB11" s="1">
        <f t="shared" si="7"/>
        <v>0.93750000000000011</v>
      </c>
      <c r="AC11" s="1">
        <f t="shared" si="7"/>
        <v>0.93333333333333346</v>
      </c>
      <c r="AD11" s="1">
        <f t="shared" si="7"/>
        <v>0.92708333333333337</v>
      </c>
    </row>
    <row r="12" spans="1:30" x14ac:dyDescent="0.25">
      <c r="A12" t="s">
        <v>14</v>
      </c>
      <c r="B12" s="1">
        <f>B5/(B4+B5)</f>
        <v>0.86792452830188682</v>
      </c>
      <c r="C12" s="1">
        <f t="shared" ref="C12:AD12" si="8">C5/(C4+C5)</f>
        <v>0.86792452830188682</v>
      </c>
      <c r="D12" s="1">
        <f t="shared" si="8"/>
        <v>0.86792452830188682</v>
      </c>
      <c r="E12" s="1">
        <f t="shared" si="8"/>
        <v>0.86792452830188682</v>
      </c>
      <c r="F12" s="1">
        <f t="shared" si="8"/>
        <v>0.84905660377358494</v>
      </c>
      <c r="G12" s="1">
        <f t="shared" si="8"/>
        <v>0.86792452830188682</v>
      </c>
      <c r="H12" s="1">
        <f t="shared" si="8"/>
        <v>0.85849056603773588</v>
      </c>
      <c r="I12" s="1">
        <f t="shared" si="8"/>
        <v>0.84905660377358494</v>
      </c>
      <c r="J12" s="1">
        <f t="shared" si="8"/>
        <v>0.78301886792452835</v>
      </c>
      <c r="K12" s="1">
        <f t="shared" si="8"/>
        <v>0.82075471698113212</v>
      </c>
      <c r="L12" s="1">
        <f t="shared" si="8"/>
        <v>0.78301886792452835</v>
      </c>
      <c r="M12" s="1">
        <f t="shared" si="8"/>
        <v>0.81132075471698117</v>
      </c>
      <c r="N12" s="1">
        <f t="shared" si="8"/>
        <v>0.839622641509434</v>
      </c>
      <c r="O12" s="1">
        <f t="shared" si="8"/>
        <v>0.839622641509434</v>
      </c>
      <c r="P12" s="1">
        <f t="shared" si="8"/>
        <v>0.84905660377358494</v>
      </c>
      <c r="Q12" s="1">
        <f t="shared" si="8"/>
        <v>0.84905660377358494</v>
      </c>
      <c r="R12" s="1">
        <f t="shared" si="8"/>
        <v>0.84905660377358494</v>
      </c>
      <c r="S12" s="1">
        <f t="shared" si="8"/>
        <v>0.839622641509434</v>
      </c>
      <c r="T12" s="1">
        <f t="shared" si="8"/>
        <v>0.8867924528301887</v>
      </c>
      <c r="U12" s="1">
        <f t="shared" si="8"/>
        <v>0.87735849056603776</v>
      </c>
      <c r="V12" s="1">
        <f t="shared" si="8"/>
        <v>0.8867924528301887</v>
      </c>
      <c r="W12" s="1">
        <f t="shared" si="8"/>
        <v>0.8867924528301887</v>
      </c>
      <c r="X12" s="1">
        <f t="shared" si="8"/>
        <v>0.87735849056603776</v>
      </c>
      <c r="Y12" s="1">
        <f t="shared" si="8"/>
        <v>0.8867924528301887</v>
      </c>
      <c r="Z12" s="1">
        <f t="shared" si="8"/>
        <v>0.8867924528301887</v>
      </c>
      <c r="AA12" s="1">
        <f t="shared" si="8"/>
        <v>0.90566037735849059</v>
      </c>
      <c r="AB12" s="1">
        <f t="shared" si="8"/>
        <v>0.92452830188679247</v>
      </c>
      <c r="AC12" s="1">
        <f t="shared" si="8"/>
        <v>0.90566037735849059</v>
      </c>
      <c r="AD12" s="1">
        <f t="shared" si="8"/>
        <v>0.91509433962264153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zoomScale="130" zoomScaleNormal="130" workbookViewId="0">
      <selection activeCell="AD5" sqref="AD5"/>
    </sheetView>
  </sheetViews>
  <sheetFormatPr baseColWidth="10" defaultRowHeight="15" x14ac:dyDescent="0.25"/>
  <cols>
    <col min="1" max="1" width="21.7109375" customWidth="1"/>
    <col min="2" max="2" width="6.5703125" style="1" customWidth="1"/>
    <col min="3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20</v>
      </c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1</v>
      </c>
      <c r="H2" s="1">
        <v>5</v>
      </c>
      <c r="I2" s="1">
        <v>3</v>
      </c>
      <c r="J2" s="1">
        <v>3</v>
      </c>
      <c r="K2" s="1">
        <v>2</v>
      </c>
      <c r="L2" s="1">
        <v>3</v>
      </c>
      <c r="M2" s="1">
        <v>3</v>
      </c>
      <c r="N2" s="1">
        <v>3</v>
      </c>
      <c r="O2" s="1">
        <v>2</v>
      </c>
      <c r="P2" s="1">
        <v>3</v>
      </c>
      <c r="Q2" s="1">
        <v>3</v>
      </c>
      <c r="R2" s="1">
        <v>3</v>
      </c>
      <c r="S2" s="1">
        <v>3</v>
      </c>
      <c r="T2" s="1">
        <v>1</v>
      </c>
      <c r="U2" s="1">
        <v>3</v>
      </c>
      <c r="V2" s="1">
        <v>1</v>
      </c>
      <c r="W2" s="1">
        <v>1</v>
      </c>
      <c r="X2" s="1">
        <v>1</v>
      </c>
      <c r="Y2" s="1">
        <v>3</v>
      </c>
      <c r="Z2" s="1">
        <v>1</v>
      </c>
      <c r="AA2" s="1">
        <v>1</v>
      </c>
      <c r="AB2" s="1">
        <v>2</v>
      </c>
      <c r="AC2" s="1">
        <v>1</v>
      </c>
      <c r="AD2" s="1">
        <v>3</v>
      </c>
    </row>
    <row r="3" spans="1:30" x14ac:dyDescent="0.25">
      <c r="A3" t="s">
        <v>21</v>
      </c>
      <c r="B3" s="1">
        <v>34</v>
      </c>
      <c r="C3" s="1">
        <v>34</v>
      </c>
      <c r="D3" s="1">
        <v>34</v>
      </c>
      <c r="E3" s="1">
        <v>33</v>
      </c>
      <c r="F3" s="1">
        <v>33</v>
      </c>
      <c r="G3" s="1">
        <v>33</v>
      </c>
      <c r="H3" s="1">
        <v>29</v>
      </c>
      <c r="I3" s="1">
        <v>31</v>
      </c>
      <c r="J3" s="1">
        <v>31</v>
      </c>
      <c r="K3" s="1">
        <v>32</v>
      </c>
      <c r="L3" s="1">
        <v>31</v>
      </c>
      <c r="M3" s="1">
        <v>31</v>
      </c>
      <c r="N3" s="1">
        <v>31</v>
      </c>
      <c r="O3" s="1">
        <v>31</v>
      </c>
      <c r="P3" s="1">
        <v>31</v>
      </c>
      <c r="Q3" s="1">
        <v>31</v>
      </c>
      <c r="R3" s="1">
        <v>31</v>
      </c>
      <c r="S3" s="1">
        <v>31</v>
      </c>
      <c r="T3" s="1">
        <v>33</v>
      </c>
      <c r="U3" s="1">
        <v>31</v>
      </c>
      <c r="V3" s="1">
        <v>33</v>
      </c>
      <c r="W3" s="1">
        <v>33</v>
      </c>
      <c r="X3" s="1">
        <v>33</v>
      </c>
      <c r="Y3" s="1">
        <v>31</v>
      </c>
      <c r="Z3" s="1">
        <v>33</v>
      </c>
      <c r="AA3" s="1">
        <v>33</v>
      </c>
      <c r="AB3" s="1">
        <v>32</v>
      </c>
      <c r="AC3" s="1">
        <v>33</v>
      </c>
      <c r="AD3" s="1">
        <v>31</v>
      </c>
    </row>
    <row r="4" spans="1:30" x14ac:dyDescent="0.25">
      <c r="A4" t="s">
        <v>22</v>
      </c>
      <c r="B4" s="1">
        <v>0</v>
      </c>
      <c r="C4" s="1">
        <v>0</v>
      </c>
      <c r="D4" s="1">
        <v>0</v>
      </c>
      <c r="E4" s="1">
        <v>0</v>
      </c>
      <c r="F4" s="1">
        <v>3</v>
      </c>
      <c r="G4" s="1">
        <v>3</v>
      </c>
      <c r="H4" s="1">
        <v>11</v>
      </c>
      <c r="I4" s="1">
        <v>7</v>
      </c>
      <c r="J4" s="1">
        <v>8</v>
      </c>
      <c r="K4" s="1">
        <v>5</v>
      </c>
      <c r="L4" s="1">
        <v>8</v>
      </c>
      <c r="M4" s="1">
        <v>6</v>
      </c>
      <c r="N4" s="1">
        <v>7</v>
      </c>
      <c r="O4" s="1">
        <v>6</v>
      </c>
      <c r="P4" s="1">
        <v>7</v>
      </c>
      <c r="Q4" s="1">
        <v>7</v>
      </c>
      <c r="R4" s="1">
        <v>9</v>
      </c>
      <c r="S4" s="1">
        <v>6</v>
      </c>
      <c r="T4" s="1">
        <v>4</v>
      </c>
      <c r="U4" s="1">
        <v>7</v>
      </c>
      <c r="V4" s="1">
        <v>3</v>
      </c>
      <c r="W4" s="1">
        <v>8</v>
      </c>
      <c r="X4" s="1">
        <v>6</v>
      </c>
      <c r="Y4" s="1">
        <v>6</v>
      </c>
      <c r="Z4" s="1">
        <v>2</v>
      </c>
      <c r="AA4" s="1">
        <v>2</v>
      </c>
      <c r="AB4" s="1">
        <v>5</v>
      </c>
      <c r="AC4" s="1">
        <v>3</v>
      </c>
      <c r="AD4" s="1">
        <v>6</v>
      </c>
    </row>
    <row r="5" spans="1:30" x14ac:dyDescent="0.25">
      <c r="A5" t="s">
        <v>12</v>
      </c>
      <c r="B5" s="1">
        <f t="shared" ref="B5:G5" si="0">200-B2-B3-B4</f>
        <v>166</v>
      </c>
      <c r="C5" s="1">
        <f t="shared" si="0"/>
        <v>166</v>
      </c>
      <c r="D5" s="1">
        <f t="shared" si="0"/>
        <v>166</v>
      </c>
      <c r="E5" s="1">
        <f t="shared" si="0"/>
        <v>167</v>
      </c>
      <c r="F5" s="1">
        <f t="shared" si="0"/>
        <v>163</v>
      </c>
      <c r="G5" s="1">
        <f t="shared" si="0"/>
        <v>163</v>
      </c>
      <c r="H5" s="1">
        <f>200-H2-H3-H4</f>
        <v>155</v>
      </c>
      <c r="I5" s="1">
        <f t="shared" ref="I5:AD5" si="1">200-I2-I3-I4</f>
        <v>159</v>
      </c>
      <c r="J5" s="1">
        <f t="shared" si="1"/>
        <v>158</v>
      </c>
      <c r="K5" s="1">
        <f t="shared" si="1"/>
        <v>161</v>
      </c>
      <c r="L5" s="1">
        <f t="shared" si="1"/>
        <v>158</v>
      </c>
      <c r="M5" s="1">
        <f t="shared" si="1"/>
        <v>160</v>
      </c>
      <c r="N5" s="1">
        <f t="shared" si="1"/>
        <v>159</v>
      </c>
      <c r="O5" s="1">
        <f t="shared" si="1"/>
        <v>161</v>
      </c>
      <c r="P5" s="1">
        <f t="shared" si="1"/>
        <v>159</v>
      </c>
      <c r="Q5" s="1">
        <f t="shared" si="1"/>
        <v>159</v>
      </c>
      <c r="R5" s="1">
        <f t="shared" si="1"/>
        <v>157</v>
      </c>
      <c r="S5" s="1">
        <f t="shared" si="1"/>
        <v>160</v>
      </c>
      <c r="T5" s="1">
        <f>200-T2-T3-T4</f>
        <v>162</v>
      </c>
      <c r="U5" s="1">
        <f t="shared" si="1"/>
        <v>159</v>
      </c>
      <c r="V5" s="1">
        <f>200-V2-V3-V4</f>
        <v>163</v>
      </c>
      <c r="W5" s="1">
        <f t="shared" si="1"/>
        <v>158</v>
      </c>
      <c r="X5" s="1">
        <f t="shared" si="1"/>
        <v>160</v>
      </c>
      <c r="Y5" s="1">
        <f t="shared" si="1"/>
        <v>160</v>
      </c>
      <c r="Z5" s="1">
        <f t="shared" si="1"/>
        <v>164</v>
      </c>
      <c r="AA5" s="1">
        <f>200-AA2-AA3-AA4</f>
        <v>164</v>
      </c>
      <c r="AB5" s="1">
        <f t="shared" si="1"/>
        <v>161</v>
      </c>
      <c r="AC5" s="1">
        <f t="shared" si="1"/>
        <v>163</v>
      </c>
      <c r="AD5" s="1">
        <f t="shared" si="1"/>
        <v>160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0.83</v>
      </c>
      <c r="C7" s="1">
        <f t="shared" ref="C7:AD7" si="3">(C5+C2)/C6</f>
        <v>0.83</v>
      </c>
      <c r="D7" s="1">
        <f t="shared" si="3"/>
        <v>0.83</v>
      </c>
      <c r="E7" s="1">
        <f t="shared" si="3"/>
        <v>0.83499999999999996</v>
      </c>
      <c r="F7" s="1">
        <f t="shared" si="3"/>
        <v>0.82</v>
      </c>
      <c r="G7" s="1">
        <f t="shared" si="3"/>
        <v>0.82</v>
      </c>
      <c r="H7" s="1">
        <f t="shared" si="3"/>
        <v>0.8</v>
      </c>
      <c r="I7" s="1">
        <f t="shared" si="3"/>
        <v>0.81</v>
      </c>
      <c r="J7" s="1">
        <f t="shared" si="3"/>
        <v>0.80500000000000005</v>
      </c>
      <c r="K7" s="1">
        <f t="shared" si="3"/>
        <v>0.81499999999999995</v>
      </c>
      <c r="L7" s="1">
        <f t="shared" si="3"/>
        <v>0.80500000000000005</v>
      </c>
      <c r="M7" s="1">
        <f t="shared" si="3"/>
        <v>0.81499999999999995</v>
      </c>
      <c r="N7" s="1">
        <f t="shared" si="3"/>
        <v>0.81</v>
      </c>
      <c r="O7" s="1">
        <f t="shared" si="3"/>
        <v>0.81499999999999995</v>
      </c>
      <c r="P7" s="1">
        <f t="shared" si="3"/>
        <v>0.81</v>
      </c>
      <c r="Q7" s="1">
        <f t="shared" si="3"/>
        <v>0.81</v>
      </c>
      <c r="R7" s="1">
        <f t="shared" si="3"/>
        <v>0.8</v>
      </c>
      <c r="S7" s="1">
        <f t="shared" si="3"/>
        <v>0.81499999999999995</v>
      </c>
      <c r="T7" s="1">
        <f t="shared" si="3"/>
        <v>0.81499999999999995</v>
      </c>
      <c r="U7" s="1">
        <f t="shared" si="3"/>
        <v>0.81</v>
      </c>
      <c r="V7" s="1">
        <f t="shared" si="3"/>
        <v>0.82</v>
      </c>
      <c r="W7" s="1">
        <f t="shared" si="3"/>
        <v>0.79500000000000004</v>
      </c>
      <c r="X7" s="1">
        <f t="shared" si="3"/>
        <v>0.80500000000000005</v>
      </c>
      <c r="Y7" s="1">
        <f t="shared" si="3"/>
        <v>0.81499999999999995</v>
      </c>
      <c r="Z7" s="1">
        <f t="shared" si="3"/>
        <v>0.82499999999999996</v>
      </c>
      <c r="AA7" s="1">
        <f t="shared" si="3"/>
        <v>0.82499999999999996</v>
      </c>
      <c r="AB7" s="1">
        <f t="shared" si="3"/>
        <v>0.81499999999999995</v>
      </c>
      <c r="AC7" s="1">
        <f t="shared" si="3"/>
        <v>0.82</v>
      </c>
      <c r="AD7" s="1">
        <f t="shared" si="3"/>
        <v>0.81499999999999995</v>
      </c>
    </row>
    <row r="8" spans="1:30" x14ac:dyDescent="0.25">
      <c r="A8" t="s">
        <v>1</v>
      </c>
      <c r="B8" s="1">
        <f>1-B7</f>
        <v>0.17000000000000004</v>
      </c>
      <c r="C8" s="1">
        <f t="shared" ref="C8:AD8" si="4">1-C7</f>
        <v>0.17000000000000004</v>
      </c>
      <c r="D8" s="1">
        <f t="shared" si="4"/>
        <v>0.17000000000000004</v>
      </c>
      <c r="E8" s="1">
        <f t="shared" si="4"/>
        <v>0.16500000000000004</v>
      </c>
      <c r="F8" s="1">
        <f t="shared" si="4"/>
        <v>0.18000000000000005</v>
      </c>
      <c r="G8" s="1">
        <f t="shared" si="4"/>
        <v>0.18000000000000005</v>
      </c>
      <c r="H8" s="1">
        <f t="shared" si="4"/>
        <v>0.19999999999999996</v>
      </c>
      <c r="I8" s="1">
        <f t="shared" si="4"/>
        <v>0.18999999999999995</v>
      </c>
      <c r="J8" s="1">
        <f t="shared" si="4"/>
        <v>0.19499999999999995</v>
      </c>
      <c r="K8" s="1">
        <f t="shared" si="4"/>
        <v>0.18500000000000005</v>
      </c>
      <c r="L8" s="1">
        <f t="shared" si="4"/>
        <v>0.19499999999999995</v>
      </c>
      <c r="M8" s="1">
        <f t="shared" si="4"/>
        <v>0.18500000000000005</v>
      </c>
      <c r="N8" s="1">
        <f t="shared" si="4"/>
        <v>0.18999999999999995</v>
      </c>
      <c r="O8" s="1">
        <f t="shared" si="4"/>
        <v>0.18500000000000005</v>
      </c>
      <c r="P8" s="1">
        <f t="shared" si="4"/>
        <v>0.18999999999999995</v>
      </c>
      <c r="Q8" s="1">
        <f t="shared" si="4"/>
        <v>0.18999999999999995</v>
      </c>
      <c r="R8" s="1">
        <f t="shared" si="4"/>
        <v>0.19999999999999996</v>
      </c>
      <c r="S8" s="1">
        <f t="shared" si="4"/>
        <v>0.18500000000000005</v>
      </c>
      <c r="T8" s="1">
        <f t="shared" si="4"/>
        <v>0.18500000000000005</v>
      </c>
      <c r="U8" s="1">
        <f t="shared" si="4"/>
        <v>0.18999999999999995</v>
      </c>
      <c r="V8" s="1">
        <f t="shared" si="4"/>
        <v>0.18000000000000005</v>
      </c>
      <c r="W8" s="1">
        <f t="shared" si="4"/>
        <v>0.20499999999999996</v>
      </c>
      <c r="X8" s="1">
        <f t="shared" si="4"/>
        <v>0.19499999999999995</v>
      </c>
      <c r="Y8" s="1">
        <f t="shared" si="4"/>
        <v>0.18500000000000005</v>
      </c>
      <c r="Z8" s="1">
        <f t="shared" si="4"/>
        <v>0.17500000000000004</v>
      </c>
      <c r="AA8" s="1">
        <f t="shared" si="4"/>
        <v>0.17500000000000004</v>
      </c>
      <c r="AB8" s="1">
        <f t="shared" si="4"/>
        <v>0.18500000000000005</v>
      </c>
      <c r="AC8" s="1">
        <f t="shared" si="4"/>
        <v>0.18000000000000005</v>
      </c>
      <c r="AD8" s="1">
        <f t="shared" si="4"/>
        <v>0.18500000000000005</v>
      </c>
    </row>
    <row r="9" spans="1:30" x14ac:dyDescent="0.25">
      <c r="A9" t="s">
        <v>52</v>
      </c>
      <c r="B9" s="1">
        <f>B2/(B2+B3)</f>
        <v>0</v>
      </c>
      <c r="C9" s="1">
        <f t="shared" ref="C9:AD9" si="5">C2/(C2+C3)</f>
        <v>0</v>
      </c>
      <c r="D9" s="1">
        <f t="shared" si="5"/>
        <v>0</v>
      </c>
      <c r="E9" s="1">
        <f t="shared" si="5"/>
        <v>0</v>
      </c>
      <c r="F9" s="1">
        <f t="shared" si="5"/>
        <v>2.9411764705882353E-2</v>
      </c>
      <c r="G9" s="1">
        <f t="shared" si="5"/>
        <v>2.9411764705882353E-2</v>
      </c>
      <c r="H9" s="1">
        <f t="shared" si="5"/>
        <v>0.14705882352941177</v>
      </c>
      <c r="I9" s="1">
        <f t="shared" si="5"/>
        <v>8.8235294117647065E-2</v>
      </c>
      <c r="J9" s="1">
        <f t="shared" si="5"/>
        <v>8.8235294117647065E-2</v>
      </c>
      <c r="K9" s="1">
        <f t="shared" si="5"/>
        <v>5.8823529411764705E-2</v>
      </c>
      <c r="L9" s="1">
        <f t="shared" si="5"/>
        <v>8.8235294117647065E-2</v>
      </c>
      <c r="M9" s="1">
        <f t="shared" si="5"/>
        <v>8.8235294117647065E-2</v>
      </c>
      <c r="N9" s="1">
        <f t="shared" si="5"/>
        <v>8.8235294117647065E-2</v>
      </c>
      <c r="O9" s="1">
        <f t="shared" si="5"/>
        <v>6.0606060606060608E-2</v>
      </c>
      <c r="P9" s="1">
        <f t="shared" si="5"/>
        <v>8.8235294117647065E-2</v>
      </c>
      <c r="Q9" s="1">
        <f t="shared" si="5"/>
        <v>8.8235294117647065E-2</v>
      </c>
      <c r="R9" s="1">
        <f t="shared" si="5"/>
        <v>8.8235294117647065E-2</v>
      </c>
      <c r="S9" s="1">
        <f t="shared" si="5"/>
        <v>8.8235294117647065E-2</v>
      </c>
      <c r="T9" s="1">
        <f t="shared" si="5"/>
        <v>2.9411764705882353E-2</v>
      </c>
      <c r="U9" s="1">
        <f t="shared" si="5"/>
        <v>8.8235294117647065E-2</v>
      </c>
      <c r="V9" s="1">
        <f t="shared" si="5"/>
        <v>2.9411764705882353E-2</v>
      </c>
      <c r="W9" s="1">
        <f t="shared" si="5"/>
        <v>2.9411764705882353E-2</v>
      </c>
      <c r="X9" s="1">
        <f t="shared" si="5"/>
        <v>2.9411764705882353E-2</v>
      </c>
      <c r="Y9" s="1">
        <f t="shared" si="5"/>
        <v>8.8235294117647065E-2</v>
      </c>
      <c r="Z9" s="1">
        <f t="shared" si="5"/>
        <v>2.9411764705882353E-2</v>
      </c>
      <c r="AA9" s="1">
        <f t="shared" si="5"/>
        <v>2.9411764705882353E-2</v>
      </c>
      <c r="AB9" s="1">
        <f t="shared" si="5"/>
        <v>5.8823529411764705E-2</v>
      </c>
      <c r="AC9" s="1">
        <f t="shared" si="5"/>
        <v>2.9411764705882353E-2</v>
      </c>
      <c r="AD9" s="1">
        <f t="shared" si="5"/>
        <v>8.8235294117647065E-2</v>
      </c>
    </row>
    <row r="10" spans="1:30" x14ac:dyDescent="0.25">
      <c r="A10" t="s">
        <v>53</v>
      </c>
      <c r="B10" s="1" t="e">
        <f>B2/(B2+B4)</f>
        <v>#DIV/0!</v>
      </c>
      <c r="C10" s="1" t="e">
        <f t="shared" ref="C10:AD10" si="6">C2/(C2+C4)</f>
        <v>#DIV/0!</v>
      </c>
      <c r="D10" s="1" t="e">
        <f t="shared" si="6"/>
        <v>#DIV/0!</v>
      </c>
      <c r="E10" s="1" t="e">
        <f t="shared" si="6"/>
        <v>#DIV/0!</v>
      </c>
      <c r="F10" s="1">
        <f t="shared" si="6"/>
        <v>0.25</v>
      </c>
      <c r="G10" s="1">
        <f t="shared" si="6"/>
        <v>0.25</v>
      </c>
      <c r="H10" s="1">
        <f t="shared" si="6"/>
        <v>0.3125</v>
      </c>
      <c r="I10" s="1">
        <f t="shared" si="6"/>
        <v>0.3</v>
      </c>
      <c r="J10" s="1">
        <f t="shared" si="6"/>
        <v>0.27272727272727271</v>
      </c>
      <c r="K10" s="1">
        <f t="shared" si="6"/>
        <v>0.2857142857142857</v>
      </c>
      <c r="L10" s="1">
        <f t="shared" si="6"/>
        <v>0.27272727272727271</v>
      </c>
      <c r="M10" s="1">
        <f t="shared" si="6"/>
        <v>0.33333333333333331</v>
      </c>
      <c r="N10" s="1">
        <f t="shared" si="6"/>
        <v>0.3</v>
      </c>
      <c r="O10" s="1">
        <f t="shared" si="6"/>
        <v>0.25</v>
      </c>
      <c r="P10" s="1">
        <f t="shared" si="6"/>
        <v>0.3</v>
      </c>
      <c r="Q10" s="1">
        <f t="shared" si="6"/>
        <v>0.3</v>
      </c>
      <c r="R10" s="1">
        <f t="shared" si="6"/>
        <v>0.25</v>
      </c>
      <c r="S10" s="1">
        <f t="shared" si="6"/>
        <v>0.33333333333333331</v>
      </c>
      <c r="T10" s="1">
        <f t="shared" si="6"/>
        <v>0.2</v>
      </c>
      <c r="U10" s="1">
        <f t="shared" si="6"/>
        <v>0.3</v>
      </c>
      <c r="V10" s="1">
        <f t="shared" si="6"/>
        <v>0.25</v>
      </c>
      <c r="W10" s="1">
        <f t="shared" si="6"/>
        <v>0.1111111111111111</v>
      </c>
      <c r="X10" s="1">
        <f t="shared" si="6"/>
        <v>0.14285714285714285</v>
      </c>
      <c r="Y10" s="1">
        <f t="shared" si="6"/>
        <v>0.33333333333333331</v>
      </c>
      <c r="Z10" s="1">
        <f t="shared" si="6"/>
        <v>0.33333333333333331</v>
      </c>
      <c r="AA10" s="1">
        <f t="shared" si="6"/>
        <v>0.33333333333333331</v>
      </c>
      <c r="AB10" s="1">
        <f t="shared" si="6"/>
        <v>0.2857142857142857</v>
      </c>
      <c r="AC10" s="1">
        <f t="shared" si="6"/>
        <v>0.25</v>
      </c>
      <c r="AD10" s="1">
        <f t="shared" si="6"/>
        <v>0.33333333333333331</v>
      </c>
    </row>
    <row r="11" spans="1:30" x14ac:dyDescent="0.25">
      <c r="A11" t="s">
        <v>13</v>
      </c>
      <c r="B11" s="1" t="e">
        <f>2*B9*B10/(B9+B10)</f>
        <v>#DIV/0!</v>
      </c>
      <c r="C11" s="1" t="e">
        <f t="shared" ref="C11:AD11" si="7">2*C9*C10/(C9+C10)</f>
        <v>#DIV/0!</v>
      </c>
      <c r="D11" s="1" t="e">
        <f t="shared" si="7"/>
        <v>#DIV/0!</v>
      </c>
      <c r="E11" s="1" t="e">
        <f t="shared" si="7"/>
        <v>#DIV/0!</v>
      </c>
      <c r="F11" s="1">
        <f t="shared" si="7"/>
        <v>5.2631578947368418E-2</v>
      </c>
      <c r="G11" s="1">
        <f t="shared" si="7"/>
        <v>5.2631578947368418E-2</v>
      </c>
      <c r="H11" s="1">
        <f t="shared" si="7"/>
        <v>0.2</v>
      </c>
      <c r="I11" s="1">
        <f t="shared" si="7"/>
        <v>0.13636363636363635</v>
      </c>
      <c r="J11" s="1">
        <f t="shared" si="7"/>
        <v>0.13333333333333333</v>
      </c>
      <c r="K11" s="1">
        <f t="shared" si="7"/>
        <v>9.7560975609756101E-2</v>
      </c>
      <c r="L11" s="1">
        <f t="shared" si="7"/>
        <v>0.13333333333333333</v>
      </c>
      <c r="M11" s="1">
        <f t="shared" si="7"/>
        <v>0.13953488372093023</v>
      </c>
      <c r="N11" s="1">
        <f t="shared" si="7"/>
        <v>0.13636363636363635</v>
      </c>
      <c r="O11" s="1">
        <f t="shared" si="7"/>
        <v>9.7560975609756101E-2</v>
      </c>
      <c r="P11" s="1">
        <f t="shared" si="7"/>
        <v>0.13636363636363635</v>
      </c>
      <c r="Q11" s="1">
        <f t="shared" si="7"/>
        <v>0.13636363636363635</v>
      </c>
      <c r="R11" s="1">
        <f t="shared" si="7"/>
        <v>0.13043478260869565</v>
      </c>
      <c r="S11" s="1">
        <f t="shared" si="7"/>
        <v>0.13953488372093023</v>
      </c>
      <c r="T11" s="1">
        <f t="shared" si="7"/>
        <v>5.128205128205128E-2</v>
      </c>
      <c r="U11" s="1">
        <f t="shared" si="7"/>
        <v>0.13636363636363635</v>
      </c>
      <c r="V11" s="1">
        <f t="shared" si="7"/>
        <v>5.2631578947368418E-2</v>
      </c>
      <c r="W11" s="1">
        <f t="shared" si="7"/>
        <v>4.6511627906976737E-2</v>
      </c>
      <c r="X11" s="1">
        <f t="shared" si="7"/>
        <v>4.878048780487805E-2</v>
      </c>
      <c r="Y11" s="1">
        <f t="shared" si="7"/>
        <v>0.13953488372093023</v>
      </c>
      <c r="Z11" s="1">
        <f t="shared" si="7"/>
        <v>5.4054054054054057E-2</v>
      </c>
      <c r="AA11" s="1">
        <f t="shared" si="7"/>
        <v>5.4054054054054057E-2</v>
      </c>
      <c r="AB11" s="1">
        <f t="shared" si="7"/>
        <v>9.7560975609756101E-2</v>
      </c>
      <c r="AC11" s="1">
        <f t="shared" si="7"/>
        <v>5.2631578947368418E-2</v>
      </c>
      <c r="AD11" s="1">
        <f t="shared" si="7"/>
        <v>0.13953488372093023</v>
      </c>
    </row>
    <row r="12" spans="1:30" x14ac:dyDescent="0.25">
      <c r="A12" t="s">
        <v>14</v>
      </c>
      <c r="B12" s="1">
        <f>B5/(B4+B5)</f>
        <v>1</v>
      </c>
      <c r="C12" s="1">
        <f t="shared" ref="C12:AD12" si="8">C5/(C4+C5)</f>
        <v>1</v>
      </c>
      <c r="D12" s="1">
        <f t="shared" si="8"/>
        <v>1</v>
      </c>
      <c r="E12" s="1">
        <f t="shared" si="8"/>
        <v>1</v>
      </c>
      <c r="F12" s="1">
        <f t="shared" si="8"/>
        <v>0.98192771084337349</v>
      </c>
      <c r="G12" s="1">
        <f t="shared" si="8"/>
        <v>0.98192771084337349</v>
      </c>
      <c r="H12" s="1">
        <f t="shared" si="8"/>
        <v>0.9337349397590361</v>
      </c>
      <c r="I12" s="1">
        <f t="shared" si="8"/>
        <v>0.95783132530120485</v>
      </c>
      <c r="J12" s="1">
        <f t="shared" si="8"/>
        <v>0.95180722891566261</v>
      </c>
      <c r="K12" s="1">
        <f t="shared" si="8"/>
        <v>0.96987951807228912</v>
      </c>
      <c r="L12" s="1">
        <f t="shared" si="8"/>
        <v>0.95180722891566261</v>
      </c>
      <c r="M12" s="1">
        <f t="shared" si="8"/>
        <v>0.96385542168674698</v>
      </c>
      <c r="N12" s="1">
        <f t="shared" si="8"/>
        <v>0.95783132530120485</v>
      </c>
      <c r="O12" s="1">
        <f t="shared" si="8"/>
        <v>0.9640718562874252</v>
      </c>
      <c r="P12" s="1">
        <f t="shared" si="8"/>
        <v>0.95783132530120485</v>
      </c>
      <c r="Q12" s="1">
        <f t="shared" si="8"/>
        <v>0.95783132530120485</v>
      </c>
      <c r="R12" s="1">
        <f t="shared" si="8"/>
        <v>0.94578313253012047</v>
      </c>
      <c r="S12" s="1">
        <f t="shared" si="8"/>
        <v>0.96385542168674698</v>
      </c>
      <c r="T12" s="1">
        <f t="shared" si="8"/>
        <v>0.97590361445783136</v>
      </c>
      <c r="U12" s="1">
        <f t="shared" si="8"/>
        <v>0.95783132530120485</v>
      </c>
      <c r="V12" s="1">
        <f t="shared" si="8"/>
        <v>0.98192771084337349</v>
      </c>
      <c r="W12" s="1">
        <f t="shared" si="8"/>
        <v>0.95180722891566261</v>
      </c>
      <c r="X12" s="1">
        <f t="shared" si="8"/>
        <v>0.96385542168674698</v>
      </c>
      <c r="Y12" s="1">
        <f t="shared" si="8"/>
        <v>0.96385542168674698</v>
      </c>
      <c r="Z12" s="1">
        <f t="shared" si="8"/>
        <v>0.98795180722891562</v>
      </c>
      <c r="AA12" s="1">
        <f t="shared" si="8"/>
        <v>0.98795180722891562</v>
      </c>
      <c r="AB12" s="1">
        <f t="shared" si="8"/>
        <v>0.96987951807228912</v>
      </c>
      <c r="AC12" s="1">
        <f t="shared" si="8"/>
        <v>0.98192771084337349</v>
      </c>
      <c r="AD12" s="1">
        <f t="shared" si="8"/>
        <v>0.96385542168674698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tabSelected="1" zoomScale="145" zoomScaleNormal="145" workbookViewId="0">
      <selection activeCell="AD5" sqref="AD5"/>
    </sheetView>
  </sheetViews>
  <sheetFormatPr baseColWidth="10" defaultRowHeight="15" x14ac:dyDescent="0.25"/>
  <cols>
    <col min="1" max="1" width="24.28515625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8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</row>
    <row r="2" spans="1:30" x14ac:dyDescent="0.25">
      <c r="A2" t="s">
        <v>17</v>
      </c>
      <c r="B2" s="1">
        <v>68</v>
      </c>
      <c r="C2" s="1">
        <v>68</v>
      </c>
      <c r="D2" s="1">
        <v>68</v>
      </c>
      <c r="E2" s="1">
        <v>68</v>
      </c>
      <c r="F2" s="1">
        <v>65</v>
      </c>
      <c r="G2" s="1">
        <v>66</v>
      </c>
      <c r="H2" s="1">
        <v>59</v>
      </c>
      <c r="I2" s="1">
        <v>63</v>
      </c>
      <c r="J2" s="1">
        <v>59</v>
      </c>
      <c r="K2" s="1">
        <v>61</v>
      </c>
      <c r="L2" s="1">
        <v>59</v>
      </c>
      <c r="M2" s="1">
        <v>61</v>
      </c>
      <c r="N2" s="1">
        <v>62</v>
      </c>
      <c r="O2" s="1">
        <v>63</v>
      </c>
      <c r="P2" s="1">
        <v>63</v>
      </c>
      <c r="Q2" s="2">
        <v>63</v>
      </c>
      <c r="R2" s="1">
        <v>61</v>
      </c>
      <c r="S2" s="1">
        <v>63</v>
      </c>
      <c r="T2" s="1">
        <v>68</v>
      </c>
      <c r="U2" s="1">
        <v>64</v>
      </c>
      <c r="V2" s="1">
        <v>69</v>
      </c>
      <c r="W2" s="1">
        <v>64</v>
      </c>
      <c r="X2" s="1">
        <v>66</v>
      </c>
      <c r="Y2" s="1">
        <v>66</v>
      </c>
      <c r="Z2" s="1">
        <v>70</v>
      </c>
      <c r="AA2" s="1">
        <v>70</v>
      </c>
      <c r="AB2" s="1">
        <v>69</v>
      </c>
      <c r="AC2" s="1">
        <v>69</v>
      </c>
      <c r="AD2" s="1">
        <v>69</v>
      </c>
    </row>
    <row r="3" spans="1:30" x14ac:dyDescent="0.25">
      <c r="A3" t="s">
        <v>18</v>
      </c>
      <c r="B3" s="1">
        <v>4</v>
      </c>
      <c r="C3" s="1">
        <v>4</v>
      </c>
      <c r="D3" s="1">
        <v>4</v>
      </c>
      <c r="E3" s="1">
        <v>4</v>
      </c>
      <c r="F3" s="1">
        <v>7</v>
      </c>
      <c r="G3" s="1">
        <v>6</v>
      </c>
      <c r="H3" s="1">
        <v>13</v>
      </c>
      <c r="I3" s="1">
        <v>9</v>
      </c>
      <c r="J3" s="1">
        <v>13</v>
      </c>
      <c r="K3" s="1">
        <v>11</v>
      </c>
      <c r="L3" s="1">
        <v>13</v>
      </c>
      <c r="M3" s="1">
        <v>11</v>
      </c>
      <c r="N3" s="1">
        <v>10</v>
      </c>
      <c r="O3" s="1">
        <v>9</v>
      </c>
      <c r="P3" s="1">
        <v>9</v>
      </c>
      <c r="Q3" s="2">
        <v>9</v>
      </c>
      <c r="R3" s="1">
        <v>11</v>
      </c>
      <c r="S3" s="1">
        <v>9</v>
      </c>
      <c r="T3" s="1">
        <v>4</v>
      </c>
      <c r="U3" s="1">
        <v>8</v>
      </c>
      <c r="V3" s="1">
        <v>3</v>
      </c>
      <c r="W3" s="1">
        <v>8</v>
      </c>
      <c r="X3" s="1">
        <v>6</v>
      </c>
      <c r="Y3" s="1">
        <v>6</v>
      </c>
      <c r="Z3" s="1">
        <v>2</v>
      </c>
      <c r="AA3" s="1">
        <v>2</v>
      </c>
      <c r="AB3" s="1">
        <v>3</v>
      </c>
      <c r="AC3" s="1">
        <v>3</v>
      </c>
      <c r="AD3" s="1">
        <v>3</v>
      </c>
    </row>
    <row r="4" spans="1:30" x14ac:dyDescent="0.25">
      <c r="A4" t="s">
        <v>19</v>
      </c>
      <c r="B4" s="1">
        <v>34</v>
      </c>
      <c r="C4" s="1">
        <v>34</v>
      </c>
      <c r="D4" s="1">
        <v>34</v>
      </c>
      <c r="E4" s="1">
        <v>34</v>
      </c>
      <c r="F4" s="1">
        <v>31</v>
      </c>
      <c r="G4" s="1">
        <v>32</v>
      </c>
      <c r="H4" s="1">
        <v>26</v>
      </c>
      <c r="I4" s="1">
        <v>26</v>
      </c>
      <c r="J4" s="1">
        <v>20</v>
      </c>
      <c r="K4" s="1">
        <v>27</v>
      </c>
      <c r="L4" s="1">
        <v>19</v>
      </c>
      <c r="M4" s="1">
        <v>21</v>
      </c>
      <c r="N4" s="1">
        <v>22</v>
      </c>
      <c r="O4" s="1">
        <v>23</v>
      </c>
      <c r="P4" s="1">
        <v>23</v>
      </c>
      <c r="Q4" s="2">
        <v>23</v>
      </c>
      <c r="R4" s="1">
        <v>21</v>
      </c>
      <c r="S4" s="1">
        <v>22</v>
      </c>
      <c r="T4" s="1">
        <v>26</v>
      </c>
      <c r="U4" s="1">
        <v>23</v>
      </c>
      <c r="V4" s="1">
        <v>24</v>
      </c>
      <c r="W4" s="1">
        <v>24</v>
      </c>
      <c r="X4" s="1">
        <v>23</v>
      </c>
      <c r="Y4" s="1">
        <v>22</v>
      </c>
      <c r="Z4" s="1">
        <v>24</v>
      </c>
      <c r="AA4" s="1">
        <v>26</v>
      </c>
      <c r="AB4" s="1">
        <v>26</v>
      </c>
      <c r="AC4" s="1">
        <v>26</v>
      </c>
      <c r="AD4" s="1">
        <v>24</v>
      </c>
    </row>
    <row r="5" spans="1:30" x14ac:dyDescent="0.25">
      <c r="A5" t="s">
        <v>12</v>
      </c>
      <c r="B5" s="1">
        <f t="shared" ref="B5:G5" si="0">200-B2-B3-B4</f>
        <v>94</v>
      </c>
      <c r="C5" s="1">
        <f t="shared" si="0"/>
        <v>94</v>
      </c>
      <c r="D5" s="1">
        <f t="shared" si="0"/>
        <v>94</v>
      </c>
      <c r="E5" s="1">
        <f t="shared" si="0"/>
        <v>94</v>
      </c>
      <c r="F5" s="1">
        <f t="shared" si="0"/>
        <v>97</v>
      </c>
      <c r="G5" s="1">
        <f t="shared" si="0"/>
        <v>96</v>
      </c>
      <c r="H5" s="1">
        <f>200-H2-H3-H4</f>
        <v>102</v>
      </c>
      <c r="I5" s="1">
        <f t="shared" ref="I5:AD5" si="1">200-I2-I3-I4</f>
        <v>102</v>
      </c>
      <c r="J5" s="1">
        <f t="shared" si="1"/>
        <v>108</v>
      </c>
      <c r="K5" s="1">
        <f t="shared" si="1"/>
        <v>101</v>
      </c>
      <c r="L5" s="1">
        <f t="shared" si="1"/>
        <v>109</v>
      </c>
      <c r="M5" s="1">
        <f t="shared" si="1"/>
        <v>107</v>
      </c>
      <c r="N5" s="1">
        <f t="shared" si="1"/>
        <v>106</v>
      </c>
      <c r="O5" s="1">
        <f t="shared" si="1"/>
        <v>105</v>
      </c>
      <c r="P5" s="1">
        <f t="shared" si="1"/>
        <v>105</v>
      </c>
      <c r="Q5" s="2">
        <f t="shared" si="1"/>
        <v>105</v>
      </c>
      <c r="R5" s="1">
        <f t="shared" si="1"/>
        <v>107</v>
      </c>
      <c r="S5" s="1">
        <f t="shared" si="1"/>
        <v>106</v>
      </c>
      <c r="T5" s="1">
        <f>200-T2-T3-T4</f>
        <v>102</v>
      </c>
      <c r="U5" s="1">
        <f t="shared" si="1"/>
        <v>105</v>
      </c>
      <c r="V5" s="1">
        <f t="shared" si="1"/>
        <v>104</v>
      </c>
      <c r="W5" s="1">
        <f>200-W2-W3-W4</f>
        <v>104</v>
      </c>
      <c r="X5" s="1">
        <f t="shared" si="1"/>
        <v>105</v>
      </c>
      <c r="Y5" s="1">
        <f t="shared" si="1"/>
        <v>106</v>
      </c>
      <c r="Z5" s="1">
        <f t="shared" si="1"/>
        <v>104</v>
      </c>
      <c r="AA5" s="1">
        <f>200-AA2-AA3-AA4</f>
        <v>102</v>
      </c>
      <c r="AB5" s="1">
        <f t="shared" si="1"/>
        <v>102</v>
      </c>
      <c r="AC5" s="1">
        <f t="shared" si="1"/>
        <v>102</v>
      </c>
      <c r="AD5" s="1">
        <f t="shared" si="1"/>
        <v>104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2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0.81</v>
      </c>
      <c r="C7" s="1">
        <f t="shared" ref="C7:AD7" si="3">(C5+C2)/C6</f>
        <v>0.81</v>
      </c>
      <c r="D7" s="1">
        <f t="shared" si="3"/>
        <v>0.81</v>
      </c>
      <c r="E7" s="1">
        <f t="shared" si="3"/>
        <v>0.81</v>
      </c>
      <c r="F7" s="1">
        <f t="shared" si="3"/>
        <v>0.81</v>
      </c>
      <c r="G7" s="1">
        <f t="shared" si="3"/>
        <v>0.81</v>
      </c>
      <c r="H7" s="1">
        <f t="shared" si="3"/>
        <v>0.80500000000000005</v>
      </c>
      <c r="I7" s="1">
        <f t="shared" si="3"/>
        <v>0.82499999999999996</v>
      </c>
      <c r="J7" s="1">
        <f t="shared" si="3"/>
        <v>0.83499999999999996</v>
      </c>
      <c r="K7" s="1">
        <f t="shared" si="3"/>
        <v>0.81</v>
      </c>
      <c r="L7" s="1">
        <f t="shared" si="3"/>
        <v>0.84</v>
      </c>
      <c r="M7" s="1">
        <f t="shared" si="3"/>
        <v>0.84</v>
      </c>
      <c r="N7" s="1">
        <f t="shared" si="3"/>
        <v>0.84</v>
      </c>
      <c r="O7" s="1">
        <f t="shared" si="3"/>
        <v>0.84</v>
      </c>
      <c r="P7" s="1">
        <f t="shared" si="3"/>
        <v>0.84</v>
      </c>
      <c r="Q7" s="2">
        <f t="shared" si="3"/>
        <v>0.84</v>
      </c>
      <c r="R7" s="1">
        <f t="shared" si="3"/>
        <v>0.84</v>
      </c>
      <c r="S7" s="1">
        <f t="shared" si="3"/>
        <v>0.84499999999999997</v>
      </c>
      <c r="T7" s="1">
        <f t="shared" si="3"/>
        <v>0.85</v>
      </c>
      <c r="U7" s="1">
        <f t="shared" si="3"/>
        <v>0.84499999999999997</v>
      </c>
      <c r="V7" s="1">
        <f t="shared" si="3"/>
        <v>0.86499999999999999</v>
      </c>
      <c r="W7" s="1">
        <f t="shared" si="3"/>
        <v>0.84</v>
      </c>
      <c r="X7" s="1">
        <f t="shared" si="3"/>
        <v>0.85499999999999998</v>
      </c>
      <c r="Y7" s="1">
        <f t="shared" si="3"/>
        <v>0.86</v>
      </c>
      <c r="Z7" s="1">
        <f t="shared" si="3"/>
        <v>0.87</v>
      </c>
      <c r="AA7" s="1">
        <f t="shared" si="3"/>
        <v>0.86</v>
      </c>
      <c r="AB7" s="1">
        <f t="shared" si="3"/>
        <v>0.85499999999999998</v>
      </c>
      <c r="AC7" s="1">
        <f t="shared" si="3"/>
        <v>0.85499999999999998</v>
      </c>
      <c r="AD7" s="1">
        <f t="shared" si="3"/>
        <v>0.86499999999999999</v>
      </c>
    </row>
    <row r="8" spans="1:30" x14ac:dyDescent="0.25">
      <c r="A8" t="s">
        <v>1</v>
      </c>
      <c r="B8" s="1">
        <f>1-B7</f>
        <v>0.18999999999999995</v>
      </c>
      <c r="C8" s="1">
        <f t="shared" ref="C8:AD8" si="4">1-C7</f>
        <v>0.18999999999999995</v>
      </c>
      <c r="D8" s="1">
        <f t="shared" si="4"/>
        <v>0.18999999999999995</v>
      </c>
      <c r="E8" s="1">
        <f t="shared" si="4"/>
        <v>0.18999999999999995</v>
      </c>
      <c r="F8" s="1">
        <f t="shared" si="4"/>
        <v>0.18999999999999995</v>
      </c>
      <c r="G8" s="1">
        <f t="shared" si="4"/>
        <v>0.18999999999999995</v>
      </c>
      <c r="H8" s="1">
        <f t="shared" si="4"/>
        <v>0.19499999999999995</v>
      </c>
      <c r="I8" s="1">
        <f t="shared" si="4"/>
        <v>0.17500000000000004</v>
      </c>
      <c r="J8" s="1">
        <f t="shared" si="4"/>
        <v>0.16500000000000004</v>
      </c>
      <c r="K8" s="1">
        <f t="shared" si="4"/>
        <v>0.18999999999999995</v>
      </c>
      <c r="L8" s="1">
        <f t="shared" si="4"/>
        <v>0.16000000000000003</v>
      </c>
      <c r="M8" s="1">
        <f t="shared" si="4"/>
        <v>0.16000000000000003</v>
      </c>
      <c r="N8" s="1">
        <f t="shared" si="4"/>
        <v>0.16000000000000003</v>
      </c>
      <c r="O8" s="1">
        <f t="shared" si="4"/>
        <v>0.16000000000000003</v>
      </c>
      <c r="P8" s="1">
        <f t="shared" si="4"/>
        <v>0.16000000000000003</v>
      </c>
      <c r="Q8" s="2">
        <f t="shared" si="4"/>
        <v>0.16000000000000003</v>
      </c>
      <c r="R8" s="1">
        <f t="shared" si="4"/>
        <v>0.16000000000000003</v>
      </c>
      <c r="S8" s="1">
        <f t="shared" si="4"/>
        <v>0.15500000000000003</v>
      </c>
      <c r="T8" s="1">
        <f t="shared" si="4"/>
        <v>0.15000000000000002</v>
      </c>
      <c r="U8" s="1">
        <f t="shared" si="4"/>
        <v>0.15500000000000003</v>
      </c>
      <c r="V8" s="1">
        <f t="shared" si="4"/>
        <v>0.13500000000000001</v>
      </c>
      <c r="W8" s="1">
        <f t="shared" si="4"/>
        <v>0.16000000000000003</v>
      </c>
      <c r="X8" s="1">
        <f t="shared" si="4"/>
        <v>0.14500000000000002</v>
      </c>
      <c r="Y8" s="1">
        <f t="shared" si="4"/>
        <v>0.14000000000000001</v>
      </c>
      <c r="Z8" s="1">
        <f t="shared" si="4"/>
        <v>0.13</v>
      </c>
      <c r="AA8" s="1">
        <f t="shared" si="4"/>
        <v>0.14000000000000001</v>
      </c>
      <c r="AB8" s="1">
        <f t="shared" si="4"/>
        <v>0.14500000000000002</v>
      </c>
      <c r="AC8" s="1">
        <f t="shared" si="4"/>
        <v>0.14500000000000002</v>
      </c>
      <c r="AD8" s="1">
        <f t="shared" si="4"/>
        <v>0.13500000000000001</v>
      </c>
    </row>
    <row r="9" spans="1:30" x14ac:dyDescent="0.25">
      <c r="A9" t="s">
        <v>52</v>
      </c>
      <c r="B9" s="1">
        <f>B2/(B2+B3)</f>
        <v>0.94444444444444442</v>
      </c>
      <c r="C9" s="1">
        <f t="shared" ref="C9:AD9" si="5">C2/(C2+C3)</f>
        <v>0.94444444444444442</v>
      </c>
      <c r="D9" s="1">
        <f t="shared" si="5"/>
        <v>0.94444444444444442</v>
      </c>
      <c r="E9" s="1">
        <f t="shared" si="5"/>
        <v>0.94444444444444442</v>
      </c>
      <c r="F9" s="1">
        <f t="shared" si="5"/>
        <v>0.90277777777777779</v>
      </c>
      <c r="G9" s="1">
        <f t="shared" si="5"/>
        <v>0.91666666666666663</v>
      </c>
      <c r="H9" s="1">
        <f t="shared" si="5"/>
        <v>0.81944444444444442</v>
      </c>
      <c r="I9" s="1">
        <f t="shared" si="5"/>
        <v>0.875</v>
      </c>
      <c r="J9" s="1">
        <f t="shared" si="5"/>
        <v>0.81944444444444442</v>
      </c>
      <c r="K9" s="1">
        <f t="shared" si="5"/>
        <v>0.84722222222222221</v>
      </c>
      <c r="L9" s="1">
        <f t="shared" si="5"/>
        <v>0.81944444444444442</v>
      </c>
      <c r="M9" s="1">
        <f t="shared" si="5"/>
        <v>0.84722222222222221</v>
      </c>
      <c r="N9" s="1">
        <f t="shared" si="5"/>
        <v>0.86111111111111116</v>
      </c>
      <c r="O9" s="1">
        <f t="shared" si="5"/>
        <v>0.875</v>
      </c>
      <c r="P9" s="1">
        <f t="shared" si="5"/>
        <v>0.875</v>
      </c>
      <c r="Q9" s="2">
        <f t="shared" si="5"/>
        <v>0.875</v>
      </c>
      <c r="R9" s="1">
        <f t="shared" si="5"/>
        <v>0.84722222222222221</v>
      </c>
      <c r="S9" s="1">
        <f t="shared" si="5"/>
        <v>0.875</v>
      </c>
      <c r="T9" s="1">
        <f t="shared" si="5"/>
        <v>0.94444444444444442</v>
      </c>
      <c r="U9" s="1">
        <f t="shared" si="5"/>
        <v>0.88888888888888884</v>
      </c>
      <c r="V9" s="1">
        <f t="shared" si="5"/>
        <v>0.95833333333333337</v>
      </c>
      <c r="W9" s="1">
        <f t="shared" si="5"/>
        <v>0.88888888888888884</v>
      </c>
      <c r="X9" s="1">
        <f t="shared" si="5"/>
        <v>0.91666666666666663</v>
      </c>
      <c r="Y9" s="1">
        <f t="shared" si="5"/>
        <v>0.91666666666666663</v>
      </c>
      <c r="Z9" s="1">
        <f t="shared" si="5"/>
        <v>0.97222222222222221</v>
      </c>
      <c r="AA9" s="1">
        <f t="shared" si="5"/>
        <v>0.97222222222222221</v>
      </c>
      <c r="AB9" s="1">
        <f t="shared" si="5"/>
        <v>0.95833333333333337</v>
      </c>
      <c r="AC9" s="1">
        <f t="shared" si="5"/>
        <v>0.95833333333333337</v>
      </c>
      <c r="AD9" s="1">
        <f t="shared" si="5"/>
        <v>0.95833333333333337</v>
      </c>
    </row>
    <row r="10" spans="1:30" x14ac:dyDescent="0.25">
      <c r="A10" t="s">
        <v>53</v>
      </c>
      <c r="B10" s="1">
        <f>B2/(B2+B4)</f>
        <v>0.66666666666666663</v>
      </c>
      <c r="C10" s="1">
        <f t="shared" ref="C10:AD10" si="6">C2/(C2+C4)</f>
        <v>0.66666666666666663</v>
      </c>
      <c r="D10" s="1">
        <f t="shared" si="6"/>
        <v>0.66666666666666663</v>
      </c>
      <c r="E10" s="1">
        <f t="shared" si="6"/>
        <v>0.66666666666666663</v>
      </c>
      <c r="F10" s="1">
        <f t="shared" si="6"/>
        <v>0.67708333333333337</v>
      </c>
      <c r="G10" s="1">
        <f t="shared" si="6"/>
        <v>0.67346938775510201</v>
      </c>
      <c r="H10" s="1">
        <f t="shared" si="6"/>
        <v>0.69411764705882351</v>
      </c>
      <c r="I10" s="1">
        <f t="shared" si="6"/>
        <v>0.7078651685393258</v>
      </c>
      <c r="J10" s="1">
        <f t="shared" si="6"/>
        <v>0.74683544303797467</v>
      </c>
      <c r="K10" s="1">
        <f t="shared" si="6"/>
        <v>0.69318181818181823</v>
      </c>
      <c r="L10" s="1">
        <f t="shared" si="6"/>
        <v>0.75641025641025639</v>
      </c>
      <c r="M10" s="1">
        <f t="shared" si="6"/>
        <v>0.74390243902439024</v>
      </c>
      <c r="N10" s="1">
        <f t="shared" si="6"/>
        <v>0.73809523809523814</v>
      </c>
      <c r="O10" s="1">
        <f t="shared" si="6"/>
        <v>0.73255813953488369</v>
      </c>
      <c r="P10" s="1">
        <f t="shared" si="6"/>
        <v>0.73255813953488369</v>
      </c>
      <c r="Q10" s="2">
        <f t="shared" si="6"/>
        <v>0.73255813953488369</v>
      </c>
      <c r="R10" s="1">
        <f t="shared" si="6"/>
        <v>0.74390243902439024</v>
      </c>
      <c r="S10" s="1">
        <f t="shared" si="6"/>
        <v>0.74117647058823533</v>
      </c>
      <c r="T10" s="1">
        <f t="shared" si="6"/>
        <v>0.72340425531914898</v>
      </c>
      <c r="U10" s="1">
        <f t="shared" si="6"/>
        <v>0.73563218390804597</v>
      </c>
      <c r="V10" s="1">
        <f t="shared" si="6"/>
        <v>0.74193548387096775</v>
      </c>
      <c r="W10" s="1">
        <f t="shared" si="6"/>
        <v>0.72727272727272729</v>
      </c>
      <c r="X10" s="1">
        <f t="shared" si="6"/>
        <v>0.7415730337078652</v>
      </c>
      <c r="Y10" s="1">
        <f t="shared" si="6"/>
        <v>0.75</v>
      </c>
      <c r="Z10" s="1">
        <f t="shared" si="6"/>
        <v>0.74468085106382975</v>
      </c>
      <c r="AA10" s="1">
        <f t="shared" si="6"/>
        <v>0.72916666666666663</v>
      </c>
      <c r="AB10" s="1">
        <f t="shared" si="6"/>
        <v>0.72631578947368425</v>
      </c>
      <c r="AC10" s="1">
        <f t="shared" si="6"/>
        <v>0.72631578947368425</v>
      </c>
      <c r="AD10" s="1">
        <f t="shared" si="6"/>
        <v>0.74193548387096775</v>
      </c>
    </row>
    <row r="11" spans="1:30" x14ac:dyDescent="0.25">
      <c r="A11" t="s">
        <v>13</v>
      </c>
      <c r="B11" s="1">
        <f>2*B9*B10/(B9+B10)</f>
        <v>0.78160919540229867</v>
      </c>
      <c r="C11" s="1">
        <f t="shared" ref="C11:AD11" si="7">2*C9*C10/(C9+C10)</f>
        <v>0.78160919540229867</v>
      </c>
      <c r="D11" s="1">
        <f t="shared" si="7"/>
        <v>0.78160919540229867</v>
      </c>
      <c r="E11" s="1">
        <f t="shared" si="7"/>
        <v>0.78160919540229867</v>
      </c>
      <c r="F11" s="1">
        <f t="shared" si="7"/>
        <v>0.77380952380952384</v>
      </c>
      <c r="G11" s="1">
        <f t="shared" si="7"/>
        <v>0.77647058823529413</v>
      </c>
      <c r="H11" s="1">
        <f t="shared" si="7"/>
        <v>0.75159235668789803</v>
      </c>
      <c r="I11" s="1">
        <f t="shared" si="7"/>
        <v>0.78260869565217395</v>
      </c>
      <c r="J11" s="1">
        <f t="shared" si="7"/>
        <v>0.78145695364238399</v>
      </c>
      <c r="K11" s="1">
        <f t="shared" si="7"/>
        <v>0.76250000000000007</v>
      </c>
      <c r="L11" s="1">
        <f t="shared" si="7"/>
        <v>0.78666666666666663</v>
      </c>
      <c r="M11" s="1">
        <f t="shared" si="7"/>
        <v>0.79220779220779236</v>
      </c>
      <c r="N11" s="1">
        <f t="shared" si="7"/>
        <v>0.79487179487179493</v>
      </c>
      <c r="O11" s="1">
        <f t="shared" si="7"/>
        <v>0.79746835443037967</v>
      </c>
      <c r="P11" s="1">
        <f t="shared" si="7"/>
        <v>0.79746835443037967</v>
      </c>
      <c r="Q11" s="2">
        <f t="shared" si="7"/>
        <v>0.79746835443037967</v>
      </c>
      <c r="R11" s="1">
        <f t="shared" si="7"/>
        <v>0.79220779220779236</v>
      </c>
      <c r="S11" s="1">
        <f t="shared" si="7"/>
        <v>0.80254777070063699</v>
      </c>
      <c r="T11" s="1">
        <f t="shared" si="7"/>
        <v>0.81927710843373491</v>
      </c>
      <c r="U11" s="1">
        <f t="shared" si="7"/>
        <v>0.80503144654088044</v>
      </c>
      <c r="V11" s="1">
        <f t="shared" si="7"/>
        <v>0.83636363636363642</v>
      </c>
      <c r="W11" s="1">
        <f t="shared" si="7"/>
        <v>0.79999999999999993</v>
      </c>
      <c r="X11" s="1">
        <f t="shared" si="7"/>
        <v>0.81987577639751563</v>
      </c>
      <c r="Y11" s="1">
        <f t="shared" si="7"/>
        <v>0.82500000000000007</v>
      </c>
      <c r="Z11" s="1">
        <f t="shared" si="7"/>
        <v>0.84337349397590355</v>
      </c>
      <c r="AA11" s="1">
        <f t="shared" si="7"/>
        <v>0.83333333333333326</v>
      </c>
      <c r="AB11" s="1">
        <f t="shared" si="7"/>
        <v>0.82634730538922163</v>
      </c>
      <c r="AC11" s="1">
        <f t="shared" si="7"/>
        <v>0.82634730538922163</v>
      </c>
      <c r="AD11" s="1">
        <f t="shared" si="7"/>
        <v>0.83636363636363642</v>
      </c>
    </row>
    <row r="12" spans="1:30" x14ac:dyDescent="0.25">
      <c r="A12" t="s">
        <v>14</v>
      </c>
      <c r="B12" s="1">
        <f>B5/(B4+B5)</f>
        <v>0.734375</v>
      </c>
      <c r="C12" s="1">
        <f t="shared" ref="C12:AD12" si="8">C5/(C4+C5)</f>
        <v>0.734375</v>
      </c>
      <c r="D12" s="1">
        <f t="shared" si="8"/>
        <v>0.734375</v>
      </c>
      <c r="E12" s="1">
        <f t="shared" si="8"/>
        <v>0.734375</v>
      </c>
      <c r="F12" s="1">
        <f t="shared" si="8"/>
        <v>0.7578125</v>
      </c>
      <c r="G12" s="1">
        <f t="shared" si="8"/>
        <v>0.75</v>
      </c>
      <c r="H12" s="1">
        <f t="shared" si="8"/>
        <v>0.796875</v>
      </c>
      <c r="I12" s="1">
        <f t="shared" si="8"/>
        <v>0.796875</v>
      </c>
      <c r="J12" s="1">
        <f t="shared" si="8"/>
        <v>0.84375</v>
      </c>
      <c r="K12" s="1">
        <f t="shared" si="8"/>
        <v>0.7890625</v>
      </c>
      <c r="L12" s="1">
        <f t="shared" si="8"/>
        <v>0.8515625</v>
      </c>
      <c r="M12" s="1">
        <f t="shared" si="8"/>
        <v>0.8359375</v>
      </c>
      <c r="N12" s="1">
        <f t="shared" si="8"/>
        <v>0.828125</v>
      </c>
      <c r="O12" s="1">
        <f t="shared" si="8"/>
        <v>0.8203125</v>
      </c>
      <c r="P12" s="1">
        <f t="shared" si="8"/>
        <v>0.8203125</v>
      </c>
      <c r="Q12" s="2">
        <f t="shared" si="8"/>
        <v>0.8203125</v>
      </c>
      <c r="R12" s="1">
        <f t="shared" si="8"/>
        <v>0.8359375</v>
      </c>
      <c r="S12" s="1">
        <f t="shared" si="8"/>
        <v>0.828125</v>
      </c>
      <c r="T12" s="1">
        <f t="shared" si="8"/>
        <v>0.796875</v>
      </c>
      <c r="U12" s="1">
        <f t="shared" si="8"/>
        <v>0.8203125</v>
      </c>
      <c r="V12" s="1">
        <f t="shared" si="8"/>
        <v>0.8125</v>
      </c>
      <c r="W12" s="1">
        <f t="shared" si="8"/>
        <v>0.8125</v>
      </c>
      <c r="X12" s="1">
        <f t="shared" si="8"/>
        <v>0.8203125</v>
      </c>
      <c r="Y12" s="1">
        <f t="shared" si="8"/>
        <v>0.828125</v>
      </c>
      <c r="Z12" s="1">
        <f t="shared" si="8"/>
        <v>0.8125</v>
      </c>
      <c r="AA12" s="1">
        <f t="shared" si="8"/>
        <v>0.796875</v>
      </c>
      <c r="AB12" s="1">
        <f t="shared" si="8"/>
        <v>0.796875</v>
      </c>
      <c r="AC12" s="1">
        <f t="shared" si="8"/>
        <v>0.796875</v>
      </c>
      <c r="AD12" s="1">
        <f t="shared" si="8"/>
        <v>0.8125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2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honeticPr fontId="3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68E6-6FC7-4BC5-95AF-D3AB11E1F6BB}">
  <dimension ref="A1:AF201"/>
  <sheetViews>
    <sheetView workbookViewId="0">
      <selection activeCell="H9" sqref="H9"/>
    </sheetView>
  </sheetViews>
  <sheetFormatPr baseColWidth="10" defaultRowHeight="15" x14ac:dyDescent="0.25"/>
  <cols>
    <col min="31" max="31" width="14.28515625" customWidth="1"/>
    <col min="32" max="32" width="14.140625" customWidth="1"/>
  </cols>
  <sheetData>
    <row r="1" spans="1:32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 t="s">
        <v>6</v>
      </c>
      <c r="AF1" t="s">
        <v>7</v>
      </c>
    </row>
    <row r="2" spans="1:32" x14ac:dyDescent="0.25">
      <c r="A2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>
        <v>3</v>
      </c>
      <c r="AF2" t="s">
        <v>4</v>
      </c>
    </row>
    <row r="3" spans="1:32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>
        <v>4</v>
      </c>
      <c r="AF3" t="s">
        <v>2</v>
      </c>
    </row>
    <row r="4" spans="1:32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>
        <v>5</v>
      </c>
      <c r="AF4" t="s">
        <v>3</v>
      </c>
    </row>
    <row r="5" spans="1:32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>
        <v>12</v>
      </c>
      <c r="AF5" t="s">
        <v>3</v>
      </c>
    </row>
    <row r="6" spans="1:32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3</v>
      </c>
      <c r="N6" t="s">
        <v>3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>
        <v>13</v>
      </c>
      <c r="AF6" t="s">
        <v>4</v>
      </c>
    </row>
    <row r="7" spans="1:32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>
        <v>25</v>
      </c>
      <c r="AF7" t="s">
        <v>3</v>
      </c>
    </row>
    <row r="8" spans="1:32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40</v>
      </c>
      <c r="AF8" t="s">
        <v>2</v>
      </c>
    </row>
    <row r="9" spans="1:32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>
        <v>55</v>
      </c>
      <c r="AF9" t="s">
        <v>3</v>
      </c>
    </row>
    <row r="10" spans="1:32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>
        <v>60</v>
      </c>
      <c r="AF10" t="s">
        <v>3</v>
      </c>
    </row>
    <row r="11" spans="1:32" x14ac:dyDescent="0.25">
      <c r="A11">
        <v>9</v>
      </c>
      <c r="B11" t="s">
        <v>2</v>
      </c>
      <c r="C11" t="s">
        <v>2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>
        <v>70</v>
      </c>
      <c r="AF11" t="s">
        <v>2</v>
      </c>
    </row>
    <row r="12" spans="1:32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>
        <v>72</v>
      </c>
      <c r="AF12" t="s">
        <v>4</v>
      </c>
    </row>
    <row r="13" spans="1:32" x14ac:dyDescent="0.25">
      <c r="A13">
        <v>11</v>
      </c>
      <c r="B13" t="s">
        <v>2</v>
      </c>
      <c r="C13" t="s">
        <v>2</v>
      </c>
      <c r="D13" t="s">
        <v>2</v>
      </c>
      <c r="E13" t="s">
        <v>4</v>
      </c>
      <c r="F13" t="s">
        <v>4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>
        <v>85</v>
      </c>
      <c r="AF13" t="s">
        <v>3</v>
      </c>
    </row>
    <row r="14" spans="1:32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>
        <v>106</v>
      </c>
      <c r="AF14" t="s">
        <v>4</v>
      </c>
    </row>
    <row r="15" spans="1:32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>
        <v>113</v>
      </c>
      <c r="AF15" t="s">
        <v>2</v>
      </c>
    </row>
    <row r="16" spans="1:32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>
        <v>131</v>
      </c>
      <c r="AF16" t="s">
        <v>3</v>
      </c>
    </row>
    <row r="17" spans="1:32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>
        <v>154</v>
      </c>
      <c r="AF17" t="s">
        <v>4</v>
      </c>
    </row>
    <row r="18" spans="1:32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>
        <v>161</v>
      </c>
      <c r="AF18" t="s">
        <v>2</v>
      </c>
    </row>
    <row r="19" spans="1:32" x14ac:dyDescent="0.25">
      <c r="A19">
        <v>17</v>
      </c>
      <c r="B19" t="s">
        <v>2</v>
      </c>
      <c r="C19" t="s">
        <v>2</v>
      </c>
      <c r="D19" t="s">
        <v>3</v>
      </c>
      <c r="E19" t="s">
        <v>4</v>
      </c>
      <c r="F19" t="s">
        <v>3</v>
      </c>
      <c r="G19" t="s">
        <v>3</v>
      </c>
      <c r="H19" t="s">
        <v>3</v>
      </c>
      <c r="I19" t="s">
        <v>3</v>
      </c>
      <c r="J19" t="s">
        <v>2</v>
      </c>
      <c r="K19" t="s">
        <v>2</v>
      </c>
      <c r="L19" t="s">
        <v>2</v>
      </c>
      <c r="M19" t="s">
        <v>2</v>
      </c>
      <c r="N19" t="s">
        <v>4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>
        <v>172</v>
      </c>
      <c r="AF19" t="s">
        <v>3</v>
      </c>
    </row>
    <row r="20" spans="1:32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>
        <v>209</v>
      </c>
      <c r="AF20" t="s">
        <v>2</v>
      </c>
    </row>
    <row r="21" spans="1:32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>
        <v>219</v>
      </c>
      <c r="AF21" t="s">
        <v>3</v>
      </c>
    </row>
    <row r="22" spans="1:32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>
        <v>255</v>
      </c>
      <c r="AF22" t="s">
        <v>2</v>
      </c>
    </row>
    <row r="23" spans="1:32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>
        <v>266</v>
      </c>
      <c r="AF23" t="s">
        <v>3</v>
      </c>
    </row>
    <row r="24" spans="1:32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>
        <v>273</v>
      </c>
      <c r="AF24" t="s">
        <v>4</v>
      </c>
    </row>
    <row r="25" spans="1:32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>
        <v>306</v>
      </c>
      <c r="AF25" t="s">
        <v>4</v>
      </c>
    </row>
    <row r="26" spans="1:32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>
        <v>317</v>
      </c>
      <c r="AF26" t="s">
        <v>3</v>
      </c>
    </row>
    <row r="27" spans="1:32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E27">
        <v>327</v>
      </c>
      <c r="AF27" t="s">
        <v>3</v>
      </c>
    </row>
    <row r="28" spans="1:32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3</v>
      </c>
      <c r="K28" t="s">
        <v>3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>
        <v>330</v>
      </c>
      <c r="AF28" t="s">
        <v>2</v>
      </c>
    </row>
    <row r="29" spans="1:32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355</v>
      </c>
      <c r="AF29" t="s">
        <v>2</v>
      </c>
    </row>
    <row r="30" spans="1:32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>
        <v>368</v>
      </c>
      <c r="AF30" t="s">
        <v>3</v>
      </c>
    </row>
    <row r="31" spans="1:32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>
        <v>381</v>
      </c>
      <c r="AF31" t="s">
        <v>2</v>
      </c>
    </row>
    <row r="32" spans="1:32" x14ac:dyDescent="0.25">
      <c r="A32">
        <v>30</v>
      </c>
      <c r="B32" t="s">
        <v>2</v>
      </c>
      <c r="C32" t="s">
        <v>2</v>
      </c>
      <c r="D32" t="s">
        <v>2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2</v>
      </c>
      <c r="AE32">
        <v>411</v>
      </c>
      <c r="AF32" t="s">
        <v>4</v>
      </c>
    </row>
    <row r="33" spans="1:32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>
        <v>413</v>
      </c>
      <c r="AF33" t="s">
        <v>3</v>
      </c>
    </row>
    <row r="34" spans="1:32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>
        <v>425</v>
      </c>
      <c r="AF34" t="s">
        <v>2</v>
      </c>
    </row>
    <row r="35" spans="1:32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>
        <v>456</v>
      </c>
      <c r="AF35" t="s">
        <v>2</v>
      </c>
    </row>
    <row r="36" spans="1:32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>
        <v>463</v>
      </c>
      <c r="AF36" t="s">
        <v>4</v>
      </c>
    </row>
    <row r="37" spans="1:32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E37">
        <v>470</v>
      </c>
      <c r="AF37" t="s">
        <v>3</v>
      </c>
    </row>
    <row r="38" spans="1:32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>
        <v>504</v>
      </c>
      <c r="AF38" t="s">
        <v>2</v>
      </c>
    </row>
    <row r="39" spans="1:32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>
        <v>510</v>
      </c>
      <c r="AF39" t="s">
        <v>3</v>
      </c>
    </row>
    <row r="40" spans="1:32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>
        <v>532</v>
      </c>
      <c r="AF40" t="s">
        <v>4</v>
      </c>
    </row>
    <row r="41" spans="1:32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4</v>
      </c>
      <c r="K41" t="s">
        <v>4</v>
      </c>
      <c r="L41" t="s">
        <v>4</v>
      </c>
      <c r="M41" t="s">
        <v>4</v>
      </c>
      <c r="N41" t="s">
        <v>2</v>
      </c>
      <c r="O41" t="s">
        <v>2</v>
      </c>
      <c r="P41" t="s">
        <v>2</v>
      </c>
      <c r="Q41" t="s">
        <v>4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>
        <v>544</v>
      </c>
      <c r="AF41" t="s">
        <v>2</v>
      </c>
    </row>
    <row r="42" spans="1:32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>
        <v>546</v>
      </c>
      <c r="AF42" t="s">
        <v>3</v>
      </c>
    </row>
    <row r="43" spans="1:32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>
        <v>565</v>
      </c>
      <c r="AF43" t="s">
        <v>2</v>
      </c>
    </row>
    <row r="44" spans="1:32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E44">
        <v>578</v>
      </c>
      <c r="AF44" t="s">
        <v>3</v>
      </c>
    </row>
    <row r="45" spans="1:32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>
        <v>598</v>
      </c>
      <c r="AF45" t="s">
        <v>3</v>
      </c>
    </row>
    <row r="46" spans="1:32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>
        <v>602</v>
      </c>
      <c r="AF46" t="s">
        <v>4</v>
      </c>
    </row>
    <row r="47" spans="1:32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 t="s">
        <v>3</v>
      </c>
      <c r="G47" t="s">
        <v>2</v>
      </c>
      <c r="H47" t="s">
        <v>2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4</v>
      </c>
      <c r="P47" t="s">
        <v>4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2</v>
      </c>
      <c r="AD47" t="s">
        <v>2</v>
      </c>
      <c r="AE47">
        <v>604</v>
      </c>
      <c r="AF47" t="s">
        <v>2</v>
      </c>
    </row>
    <row r="48" spans="1:32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>
        <v>629</v>
      </c>
      <c r="AF48" t="s">
        <v>4</v>
      </c>
    </row>
    <row r="49" spans="1:32" x14ac:dyDescent="0.25">
      <c r="A49">
        <v>47</v>
      </c>
      <c r="B49" t="s">
        <v>2</v>
      </c>
      <c r="C49" t="s">
        <v>2</v>
      </c>
      <c r="D49" t="s">
        <v>2</v>
      </c>
      <c r="E49" t="s">
        <v>4</v>
      </c>
      <c r="F49" t="s">
        <v>4</v>
      </c>
      <c r="G49" t="s">
        <v>2</v>
      </c>
      <c r="H49" t="s">
        <v>4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>
        <v>634</v>
      </c>
      <c r="AF49" t="s">
        <v>3</v>
      </c>
    </row>
    <row r="50" spans="1:32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 t="s">
        <v>4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>
        <v>649</v>
      </c>
      <c r="AF50" t="s">
        <v>2</v>
      </c>
    </row>
    <row r="51" spans="1:32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>
        <v>659</v>
      </c>
      <c r="AF51" t="s">
        <v>3</v>
      </c>
    </row>
    <row r="52" spans="1:32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>
        <v>679</v>
      </c>
      <c r="AF52" t="s">
        <v>2</v>
      </c>
    </row>
    <row r="53" spans="1:32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>
        <v>690</v>
      </c>
      <c r="AF53" t="s">
        <v>4</v>
      </c>
    </row>
    <row r="54" spans="1:32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E54">
        <v>709</v>
      </c>
      <c r="AF54" t="s">
        <v>3</v>
      </c>
    </row>
    <row r="55" spans="1:32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>
        <v>719</v>
      </c>
      <c r="AF55" t="s">
        <v>2</v>
      </c>
    </row>
    <row r="56" spans="1:32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>
        <v>727</v>
      </c>
      <c r="AF56" t="s">
        <v>4</v>
      </c>
    </row>
    <row r="57" spans="1:32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E57">
        <v>729</v>
      </c>
      <c r="AF57" t="s">
        <v>3</v>
      </c>
    </row>
    <row r="58" spans="1:32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>
        <v>761</v>
      </c>
      <c r="AF58" t="s">
        <v>2</v>
      </c>
    </row>
    <row r="59" spans="1:32" x14ac:dyDescent="0.25">
      <c r="A59">
        <v>57</v>
      </c>
      <c r="B59" t="s">
        <v>3</v>
      </c>
      <c r="C59" t="s">
        <v>3</v>
      </c>
      <c r="D59" t="s">
        <v>3</v>
      </c>
      <c r="E59" t="s">
        <v>4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>
        <v>763</v>
      </c>
      <c r="AF59" t="s">
        <v>3</v>
      </c>
    </row>
    <row r="60" spans="1:32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>
        <v>783</v>
      </c>
      <c r="AF60" t="s">
        <v>2</v>
      </c>
    </row>
    <row r="61" spans="1:32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>
        <v>788</v>
      </c>
      <c r="AF61" t="s">
        <v>3</v>
      </c>
    </row>
    <row r="62" spans="1:32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4</v>
      </c>
      <c r="G62" t="s">
        <v>4</v>
      </c>
      <c r="H62" t="s">
        <v>4</v>
      </c>
      <c r="I62" t="s">
        <v>4</v>
      </c>
      <c r="J62" t="s">
        <v>3</v>
      </c>
      <c r="K62" t="s">
        <v>3</v>
      </c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4</v>
      </c>
      <c r="U62" t="s">
        <v>4</v>
      </c>
      <c r="V62" t="s">
        <v>4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>
        <v>793</v>
      </c>
      <c r="AF62" t="s">
        <v>4</v>
      </c>
    </row>
    <row r="63" spans="1:32" x14ac:dyDescent="0.25">
      <c r="A63">
        <v>61</v>
      </c>
      <c r="B63" t="s">
        <v>2</v>
      </c>
      <c r="C63" t="s">
        <v>2</v>
      </c>
      <c r="D63" t="s">
        <v>2</v>
      </c>
      <c r="E63" t="s">
        <v>2</v>
      </c>
      <c r="F63" t="s">
        <v>3</v>
      </c>
      <c r="G63" t="s">
        <v>2</v>
      </c>
      <c r="H63" t="s">
        <v>2</v>
      </c>
      <c r="I63" t="s">
        <v>3</v>
      </c>
      <c r="J63" t="s">
        <v>2</v>
      </c>
      <c r="K63" t="s">
        <v>2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4</v>
      </c>
      <c r="AA63" t="s">
        <v>3</v>
      </c>
      <c r="AB63" t="s">
        <v>3</v>
      </c>
      <c r="AC63" t="s">
        <v>3</v>
      </c>
      <c r="AD63" t="s">
        <v>3</v>
      </c>
      <c r="AE63">
        <v>818</v>
      </c>
      <c r="AF63" t="s">
        <v>3</v>
      </c>
    </row>
    <row r="64" spans="1:32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>
        <v>827</v>
      </c>
      <c r="AF64" t="s">
        <v>2</v>
      </c>
    </row>
    <row r="65" spans="1:32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>
        <v>853</v>
      </c>
      <c r="AF65" t="s">
        <v>2</v>
      </c>
    </row>
    <row r="66" spans="1:32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>
        <v>855</v>
      </c>
      <c r="AF66" t="s">
        <v>3</v>
      </c>
    </row>
    <row r="67" spans="1:32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>
        <v>885</v>
      </c>
      <c r="AF67" t="s">
        <v>4</v>
      </c>
    </row>
    <row r="68" spans="1:32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>
        <v>894</v>
      </c>
      <c r="AF68" t="s">
        <v>3</v>
      </c>
    </row>
    <row r="69" spans="1:32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>
        <v>904</v>
      </c>
      <c r="AF69" t="s">
        <v>4</v>
      </c>
    </row>
    <row r="70" spans="1:32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>
        <v>907</v>
      </c>
      <c r="AF70" t="s">
        <v>2</v>
      </c>
    </row>
    <row r="71" spans="1:32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t="s">
        <v>4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  <c r="W71" t="s">
        <v>4</v>
      </c>
      <c r="X71" t="s">
        <v>2</v>
      </c>
      <c r="Y71" t="s">
        <v>4</v>
      </c>
      <c r="Z71" t="s">
        <v>4</v>
      </c>
      <c r="AA71" t="s">
        <v>4</v>
      </c>
      <c r="AB71" t="s">
        <v>2</v>
      </c>
      <c r="AC71" t="s">
        <v>2</v>
      </c>
      <c r="AD71" t="s">
        <v>2</v>
      </c>
      <c r="AE71">
        <v>940</v>
      </c>
      <c r="AF71" t="s">
        <v>2</v>
      </c>
    </row>
    <row r="72" spans="1:32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E72">
        <v>946</v>
      </c>
      <c r="AF72" t="s">
        <v>3</v>
      </c>
    </row>
    <row r="73" spans="1:32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>
        <v>963</v>
      </c>
      <c r="AF73" t="s">
        <v>2</v>
      </c>
    </row>
    <row r="74" spans="1:32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>
        <v>982</v>
      </c>
      <c r="AF74" t="s">
        <v>3</v>
      </c>
    </row>
    <row r="75" spans="1:32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>
        <v>992</v>
      </c>
      <c r="AF75" t="s">
        <v>2</v>
      </c>
    </row>
    <row r="76" spans="1:32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4</v>
      </c>
      <c r="G76" t="s">
        <v>2</v>
      </c>
      <c r="H76" t="s">
        <v>2</v>
      </c>
      <c r="I76" t="s">
        <v>2</v>
      </c>
      <c r="J76" t="s">
        <v>4</v>
      </c>
      <c r="K76" t="s">
        <v>4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994</v>
      </c>
      <c r="AF76" t="s">
        <v>4</v>
      </c>
    </row>
    <row r="77" spans="1:32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E77">
        <v>996</v>
      </c>
      <c r="AF77" t="s">
        <v>3</v>
      </c>
    </row>
    <row r="78" spans="1:32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E78">
        <v>1034</v>
      </c>
      <c r="AF78" t="s">
        <v>3</v>
      </c>
    </row>
    <row r="79" spans="1:32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>
        <v>1048</v>
      </c>
      <c r="AF79" t="s">
        <v>2</v>
      </c>
    </row>
    <row r="80" spans="1:32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E80">
        <v>1055</v>
      </c>
      <c r="AF80" t="s">
        <v>4</v>
      </c>
    </row>
    <row r="81" spans="1:32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E81">
        <v>1057</v>
      </c>
      <c r="AF81" t="s">
        <v>3</v>
      </c>
    </row>
    <row r="82" spans="1:32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>
        <v>1063</v>
      </c>
      <c r="AF82" t="s">
        <v>2</v>
      </c>
    </row>
    <row r="83" spans="1:32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>
        <v>1074</v>
      </c>
      <c r="AF83" t="s">
        <v>3</v>
      </c>
    </row>
    <row r="84" spans="1:32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E84">
        <v>1097</v>
      </c>
      <c r="AF84" t="s">
        <v>3</v>
      </c>
    </row>
    <row r="85" spans="1:32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>
        <v>1102</v>
      </c>
      <c r="AF85" t="s">
        <v>2</v>
      </c>
    </row>
    <row r="86" spans="1:32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E86">
        <v>1121</v>
      </c>
      <c r="AF86" t="s">
        <v>3</v>
      </c>
    </row>
    <row r="87" spans="1:32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>
        <v>1128</v>
      </c>
      <c r="AF87" t="s">
        <v>2</v>
      </c>
    </row>
    <row r="88" spans="1:32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E88">
        <v>1153</v>
      </c>
      <c r="AF88" t="s">
        <v>3</v>
      </c>
    </row>
    <row r="89" spans="1:32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>
        <v>1174</v>
      </c>
      <c r="AF89" t="s">
        <v>2</v>
      </c>
    </row>
    <row r="90" spans="1:32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E90">
        <v>1185</v>
      </c>
      <c r="AF90" t="s">
        <v>3</v>
      </c>
    </row>
    <row r="91" spans="1:32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E91">
        <v>1199</v>
      </c>
      <c r="AF91" t="s">
        <v>2</v>
      </c>
    </row>
    <row r="92" spans="1:32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E92">
        <v>1211</v>
      </c>
      <c r="AF92" t="s">
        <v>3</v>
      </c>
    </row>
    <row r="93" spans="1:32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3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>
        <v>1222</v>
      </c>
      <c r="AF93" t="s">
        <v>4</v>
      </c>
    </row>
    <row r="94" spans="1:32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>
        <v>1223</v>
      </c>
      <c r="AF94" t="s">
        <v>2</v>
      </c>
    </row>
    <row r="95" spans="1:32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E95">
        <v>1239</v>
      </c>
      <c r="AF95" t="s">
        <v>3</v>
      </c>
    </row>
    <row r="96" spans="1:32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>
        <v>1248</v>
      </c>
      <c r="AF96" t="s">
        <v>2</v>
      </c>
    </row>
    <row r="97" spans="1:32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>
        <v>1268</v>
      </c>
      <c r="AF97" t="s">
        <v>4</v>
      </c>
    </row>
    <row r="98" spans="1:32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>
        <v>1271</v>
      </c>
      <c r="AF98" t="s">
        <v>2</v>
      </c>
    </row>
    <row r="99" spans="1:32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>
        <v>1301</v>
      </c>
      <c r="AF99" t="s">
        <v>3</v>
      </c>
    </row>
    <row r="100" spans="1:32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E100">
        <v>1308</v>
      </c>
      <c r="AF100" t="s">
        <v>2</v>
      </c>
    </row>
    <row r="101" spans="1:32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>
        <v>1314</v>
      </c>
      <c r="AF101" t="s">
        <v>3</v>
      </c>
    </row>
    <row r="102" spans="1:32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>
        <v>1343</v>
      </c>
      <c r="AF102" t="s">
        <v>2</v>
      </c>
    </row>
    <row r="103" spans="1:32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E103">
        <v>1351</v>
      </c>
      <c r="AF103" t="s">
        <v>3</v>
      </c>
    </row>
    <row r="104" spans="1:32" x14ac:dyDescent="0.25">
      <c r="A104">
        <v>102</v>
      </c>
      <c r="B104" t="s">
        <v>2</v>
      </c>
      <c r="C104" t="s">
        <v>2</v>
      </c>
      <c r="D104" t="s">
        <v>2</v>
      </c>
      <c r="E104" t="s">
        <v>4</v>
      </c>
      <c r="F104" t="s">
        <v>4</v>
      </c>
      <c r="G104" t="s">
        <v>3</v>
      </c>
      <c r="H104" t="s">
        <v>3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>
        <v>1368</v>
      </c>
      <c r="AF104" t="s">
        <v>2</v>
      </c>
    </row>
    <row r="105" spans="1:32" x14ac:dyDescent="0.25">
      <c r="A105">
        <v>103</v>
      </c>
      <c r="B105" t="s">
        <v>2</v>
      </c>
      <c r="C105" t="s">
        <v>2</v>
      </c>
      <c r="D105" t="s">
        <v>2</v>
      </c>
      <c r="E105" t="s">
        <v>4</v>
      </c>
      <c r="F105" t="s">
        <v>4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4</v>
      </c>
      <c r="N105" t="s">
        <v>4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2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E105">
        <v>1387</v>
      </c>
      <c r="AF105" t="s">
        <v>3</v>
      </c>
    </row>
    <row r="106" spans="1:32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4</v>
      </c>
      <c r="O106" t="s">
        <v>4</v>
      </c>
      <c r="P106" t="s">
        <v>4</v>
      </c>
      <c r="Q106" t="s">
        <v>4</v>
      </c>
      <c r="R106" t="s">
        <v>3</v>
      </c>
      <c r="S106" t="s">
        <v>4</v>
      </c>
      <c r="T106" t="s">
        <v>4</v>
      </c>
      <c r="U106" t="s">
        <v>4</v>
      </c>
      <c r="V106" t="s">
        <v>4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>
        <v>1393</v>
      </c>
      <c r="AF106" t="s">
        <v>2</v>
      </c>
    </row>
    <row r="107" spans="1:32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4</v>
      </c>
      <c r="G107" t="s">
        <v>4</v>
      </c>
      <c r="H107" t="s">
        <v>4</v>
      </c>
      <c r="I107" t="s">
        <v>4</v>
      </c>
      <c r="J107" t="s">
        <v>3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2</v>
      </c>
      <c r="AC107" t="s">
        <v>2</v>
      </c>
      <c r="AD107" t="s">
        <v>2</v>
      </c>
      <c r="AE107">
        <v>1407</v>
      </c>
      <c r="AF107" t="s">
        <v>4</v>
      </c>
    </row>
    <row r="108" spans="1:32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>
        <v>1422</v>
      </c>
      <c r="AF108" t="s">
        <v>2</v>
      </c>
    </row>
    <row r="109" spans="1:32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E109">
        <v>1431</v>
      </c>
      <c r="AF109" t="s">
        <v>3</v>
      </c>
    </row>
    <row r="110" spans="1:32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E110">
        <v>1441</v>
      </c>
      <c r="AF110" t="s">
        <v>3</v>
      </c>
    </row>
    <row r="111" spans="1:32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>
        <v>1451</v>
      </c>
      <c r="AF111" t="s">
        <v>2</v>
      </c>
    </row>
    <row r="112" spans="1:32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4</v>
      </c>
      <c r="G112" t="s">
        <v>4</v>
      </c>
      <c r="H112" t="s">
        <v>4</v>
      </c>
      <c r="I112" t="s">
        <v>4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>
        <v>1469</v>
      </c>
      <c r="AF112" t="s">
        <v>2</v>
      </c>
    </row>
    <row r="113" spans="1:32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>
        <v>1474</v>
      </c>
      <c r="AF113" t="s">
        <v>3</v>
      </c>
    </row>
    <row r="114" spans="1:32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>
        <v>1484</v>
      </c>
      <c r="AF114" t="s">
        <v>3</v>
      </c>
    </row>
    <row r="115" spans="1:32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4</v>
      </c>
      <c r="K115" t="s">
        <v>3</v>
      </c>
      <c r="L115" t="s">
        <v>3</v>
      </c>
      <c r="M115" t="s">
        <v>3</v>
      </c>
      <c r="N115" t="s">
        <v>4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s">
        <v>3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>
        <v>1485</v>
      </c>
      <c r="AF115" t="s">
        <v>4</v>
      </c>
    </row>
    <row r="116" spans="1:32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>
        <v>1493</v>
      </c>
      <c r="AF116" t="s">
        <v>3</v>
      </c>
    </row>
    <row r="117" spans="1:32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E117">
        <v>1513</v>
      </c>
      <c r="AF117" t="s">
        <v>3</v>
      </c>
    </row>
    <row r="118" spans="1:32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>
        <v>1520</v>
      </c>
      <c r="AF118" t="s">
        <v>2</v>
      </c>
    </row>
    <row r="119" spans="1:32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>
        <v>1547</v>
      </c>
      <c r="AF119" t="s">
        <v>2</v>
      </c>
    </row>
    <row r="120" spans="1:32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E120">
        <v>1550</v>
      </c>
      <c r="AF120" t="s">
        <v>3</v>
      </c>
    </row>
    <row r="121" spans="1:32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>
        <v>1554</v>
      </c>
      <c r="AF121" t="s">
        <v>3</v>
      </c>
    </row>
    <row r="122" spans="1:32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>
        <v>1589</v>
      </c>
      <c r="AF122" t="s">
        <v>2</v>
      </c>
    </row>
    <row r="123" spans="1:32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E123">
        <v>1595</v>
      </c>
      <c r="AF123" t="s">
        <v>3</v>
      </c>
    </row>
    <row r="124" spans="1:32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>
        <v>1600</v>
      </c>
      <c r="AF124" t="s">
        <v>4</v>
      </c>
    </row>
    <row r="125" spans="1:32" x14ac:dyDescent="0.25">
      <c r="A125">
        <v>123</v>
      </c>
      <c r="B125" t="s">
        <v>2</v>
      </c>
      <c r="C125" t="s">
        <v>2</v>
      </c>
      <c r="D125" t="s">
        <v>2</v>
      </c>
      <c r="E125" t="s">
        <v>4</v>
      </c>
      <c r="F125" t="s">
        <v>4</v>
      </c>
      <c r="G125" t="s">
        <v>3</v>
      </c>
      <c r="H125" t="s">
        <v>3</v>
      </c>
      <c r="I125" t="s">
        <v>3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>
        <v>1617</v>
      </c>
      <c r="AF125" t="s">
        <v>2</v>
      </c>
    </row>
    <row r="126" spans="1:32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E126">
        <v>1619</v>
      </c>
      <c r="AF126" t="s">
        <v>3</v>
      </c>
    </row>
    <row r="127" spans="1:32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3</v>
      </c>
      <c r="N127" t="s">
        <v>3</v>
      </c>
      <c r="O127" t="s">
        <v>3</v>
      </c>
      <c r="P127" t="s">
        <v>3</v>
      </c>
      <c r="Q127" t="s">
        <v>4</v>
      </c>
      <c r="R127" t="s">
        <v>3</v>
      </c>
      <c r="S127" t="s">
        <v>3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>
        <v>1662</v>
      </c>
      <c r="AF127" t="s">
        <v>2</v>
      </c>
    </row>
    <row r="128" spans="1:32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>
        <v>1663</v>
      </c>
      <c r="AF128" t="s">
        <v>2</v>
      </c>
    </row>
    <row r="129" spans="1:32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E129">
        <v>1665</v>
      </c>
      <c r="AF129" t="s">
        <v>3</v>
      </c>
    </row>
    <row r="130" spans="1:32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E130">
        <v>1672</v>
      </c>
      <c r="AF130" t="s">
        <v>3</v>
      </c>
    </row>
    <row r="131" spans="1:32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>
        <v>1691</v>
      </c>
      <c r="AF131" t="s">
        <v>2</v>
      </c>
    </row>
    <row r="132" spans="1:32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E132">
        <v>1698</v>
      </c>
      <c r="AF132" t="s">
        <v>3</v>
      </c>
    </row>
    <row r="133" spans="1:32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>
        <v>1718</v>
      </c>
      <c r="AF133" t="s">
        <v>2</v>
      </c>
    </row>
    <row r="134" spans="1:32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>
        <v>1735</v>
      </c>
      <c r="AF134" t="s">
        <v>2</v>
      </c>
    </row>
    <row r="135" spans="1:32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E135">
        <v>1736</v>
      </c>
      <c r="AF135" t="s">
        <v>3</v>
      </c>
    </row>
    <row r="136" spans="1:32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 t="s">
        <v>3</v>
      </c>
      <c r="G136" t="s">
        <v>3</v>
      </c>
      <c r="H136" t="s">
        <v>3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>
        <v>1742</v>
      </c>
      <c r="AF136" t="s">
        <v>4</v>
      </c>
    </row>
    <row r="137" spans="1:32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>
        <v>1749</v>
      </c>
      <c r="AF137" t="s">
        <v>3</v>
      </c>
    </row>
    <row r="138" spans="1:32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2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E138">
        <v>1766</v>
      </c>
      <c r="AF138" t="s">
        <v>3</v>
      </c>
    </row>
    <row r="139" spans="1:32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>
        <v>1772</v>
      </c>
      <c r="AF139" t="s">
        <v>2</v>
      </c>
    </row>
    <row r="140" spans="1:32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E140">
        <v>1777</v>
      </c>
      <c r="AF140" t="s">
        <v>3</v>
      </c>
    </row>
    <row r="141" spans="1:32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>
        <v>1779</v>
      </c>
      <c r="AF141" t="s">
        <v>4</v>
      </c>
    </row>
    <row r="142" spans="1:32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E142">
        <v>1799</v>
      </c>
      <c r="AF142" t="s">
        <v>3</v>
      </c>
    </row>
    <row r="143" spans="1:32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>
        <v>1802</v>
      </c>
      <c r="AF143" t="s">
        <v>2</v>
      </c>
    </row>
    <row r="144" spans="1:32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E144">
        <v>1808</v>
      </c>
      <c r="AF144" t="s">
        <v>3</v>
      </c>
    </row>
    <row r="145" spans="1:32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4</v>
      </c>
      <c r="G145" t="s">
        <v>4</v>
      </c>
      <c r="H145" t="s">
        <v>4</v>
      </c>
      <c r="I145" t="s">
        <v>4</v>
      </c>
      <c r="J145" t="s">
        <v>4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>
        <v>1828</v>
      </c>
      <c r="AF145" t="s">
        <v>2</v>
      </c>
    </row>
    <row r="146" spans="1:32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E146">
        <v>1829</v>
      </c>
      <c r="AF146" t="s">
        <v>3</v>
      </c>
    </row>
    <row r="147" spans="1:32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>
        <v>1843</v>
      </c>
      <c r="AF147" t="s">
        <v>2</v>
      </c>
    </row>
    <row r="148" spans="1:32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E148">
        <v>1846</v>
      </c>
      <c r="AF148" t="s">
        <v>3</v>
      </c>
    </row>
    <row r="149" spans="1:32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E149">
        <v>1862</v>
      </c>
      <c r="AF149" t="s">
        <v>3</v>
      </c>
    </row>
    <row r="150" spans="1:32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>
        <v>1876</v>
      </c>
      <c r="AF150" t="s">
        <v>2</v>
      </c>
    </row>
    <row r="151" spans="1:32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>
        <v>1890</v>
      </c>
      <c r="AF151" t="s">
        <v>3</v>
      </c>
    </row>
    <row r="152" spans="1:32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>
        <v>1893</v>
      </c>
      <c r="AF152" t="s">
        <v>2</v>
      </c>
    </row>
    <row r="153" spans="1:32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>
        <v>1911</v>
      </c>
      <c r="AF153" t="s">
        <v>3</v>
      </c>
    </row>
    <row r="154" spans="1:32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>
        <v>1918</v>
      </c>
      <c r="AF154" t="s">
        <v>4</v>
      </c>
    </row>
    <row r="155" spans="1:32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>
        <v>1934</v>
      </c>
      <c r="AF155" t="s">
        <v>2</v>
      </c>
    </row>
    <row r="156" spans="1:32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>
        <v>1937</v>
      </c>
      <c r="AF156" t="s">
        <v>3</v>
      </c>
    </row>
    <row r="157" spans="1:32" x14ac:dyDescent="0.25">
      <c r="A157">
        <v>155</v>
      </c>
      <c r="B157" t="s">
        <v>2</v>
      </c>
      <c r="C157" t="s">
        <v>2</v>
      </c>
      <c r="D157" t="s">
        <v>3</v>
      </c>
      <c r="E157" t="s">
        <v>3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>
        <v>1940</v>
      </c>
      <c r="AF157" t="s">
        <v>4</v>
      </c>
    </row>
    <row r="158" spans="1:32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>
        <v>1960</v>
      </c>
      <c r="AF158" t="s">
        <v>2</v>
      </c>
    </row>
    <row r="159" spans="1:32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>
        <v>1967</v>
      </c>
      <c r="AF159" t="s">
        <v>3</v>
      </c>
    </row>
    <row r="160" spans="1:32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>
        <v>1979</v>
      </c>
      <c r="AF160" t="s">
        <v>2</v>
      </c>
    </row>
    <row r="161" spans="1:32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>
        <v>1983</v>
      </c>
      <c r="AF161" t="s">
        <v>3</v>
      </c>
    </row>
    <row r="162" spans="1:32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>
        <v>2009</v>
      </c>
      <c r="AF162" t="s">
        <v>3</v>
      </c>
    </row>
    <row r="163" spans="1:32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3</v>
      </c>
      <c r="K163" t="s">
        <v>3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>
        <v>2016</v>
      </c>
      <c r="AF163" t="s">
        <v>4</v>
      </c>
    </row>
    <row r="164" spans="1:32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>
        <v>2018</v>
      </c>
      <c r="AF164" t="s">
        <v>3</v>
      </c>
    </row>
    <row r="165" spans="1:32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>
        <v>2024</v>
      </c>
      <c r="AF165" t="s">
        <v>2</v>
      </c>
    </row>
    <row r="166" spans="1:32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>
        <v>2032</v>
      </c>
      <c r="AF166" t="s">
        <v>3</v>
      </c>
    </row>
    <row r="167" spans="1:32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>
        <v>2043</v>
      </c>
      <c r="AF167" t="s">
        <v>3</v>
      </c>
    </row>
    <row r="168" spans="1:32" x14ac:dyDescent="0.25">
      <c r="A168">
        <v>166</v>
      </c>
      <c r="B168" t="s">
        <v>2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4</v>
      </c>
      <c r="R168" t="s">
        <v>4</v>
      </c>
      <c r="S168" t="s">
        <v>4</v>
      </c>
      <c r="T168" t="s">
        <v>4</v>
      </c>
      <c r="U168" t="s">
        <v>4</v>
      </c>
      <c r="V168" t="s">
        <v>4</v>
      </c>
      <c r="W168" t="s">
        <v>4</v>
      </c>
      <c r="X168" t="s">
        <v>4</v>
      </c>
      <c r="Y168" t="s">
        <v>4</v>
      </c>
      <c r="Z168" t="s">
        <v>4</v>
      </c>
      <c r="AA168" t="s">
        <v>4</v>
      </c>
      <c r="AB168" t="s">
        <v>4</v>
      </c>
      <c r="AC168" t="s">
        <v>4</v>
      </c>
      <c r="AD168" t="s">
        <v>4</v>
      </c>
      <c r="AE168">
        <v>2055</v>
      </c>
      <c r="AF168" t="s">
        <v>3</v>
      </c>
    </row>
    <row r="169" spans="1:32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>
        <v>2057</v>
      </c>
      <c r="AF169" t="s">
        <v>2</v>
      </c>
    </row>
    <row r="170" spans="1:32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>
        <v>2064</v>
      </c>
      <c r="AF170" t="s">
        <v>3</v>
      </c>
    </row>
    <row r="171" spans="1:32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E171">
        <v>2073</v>
      </c>
      <c r="AF171" t="s">
        <v>2</v>
      </c>
    </row>
    <row r="172" spans="1:32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3</v>
      </c>
      <c r="K172" t="s">
        <v>3</v>
      </c>
      <c r="L172" t="s">
        <v>2</v>
      </c>
      <c r="M172" t="s">
        <v>2</v>
      </c>
      <c r="N172" t="s">
        <v>2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E172">
        <v>2093</v>
      </c>
      <c r="AF172" t="s">
        <v>3</v>
      </c>
    </row>
    <row r="173" spans="1:32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4</v>
      </c>
      <c r="G173" t="s">
        <v>4</v>
      </c>
      <c r="H173" t="s">
        <v>4</v>
      </c>
      <c r="I173" t="s">
        <v>4</v>
      </c>
      <c r="J173" t="s">
        <v>4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>
        <v>2104</v>
      </c>
      <c r="AF173" t="s">
        <v>4</v>
      </c>
    </row>
    <row r="174" spans="1:32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E174">
        <v>2109</v>
      </c>
      <c r="AF174" t="s">
        <v>3</v>
      </c>
    </row>
    <row r="175" spans="1:32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E175">
        <v>2116</v>
      </c>
      <c r="AF175" t="s">
        <v>3</v>
      </c>
    </row>
    <row r="176" spans="1:32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>
        <v>2118</v>
      </c>
      <c r="AF176" t="s">
        <v>2</v>
      </c>
    </row>
    <row r="177" spans="1:32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>
        <v>2140</v>
      </c>
      <c r="AF177" t="s">
        <v>2</v>
      </c>
    </row>
    <row r="178" spans="1:32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3</v>
      </c>
      <c r="AD178" t="s">
        <v>3</v>
      </c>
      <c r="AE178">
        <v>2147</v>
      </c>
      <c r="AF178" t="s">
        <v>4</v>
      </c>
    </row>
    <row r="179" spans="1:32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E179">
        <v>2149</v>
      </c>
      <c r="AF179" t="s">
        <v>3</v>
      </c>
    </row>
    <row r="180" spans="1:32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>
        <v>2160</v>
      </c>
      <c r="AF180" t="s">
        <v>3</v>
      </c>
    </row>
    <row r="181" spans="1:32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>
        <v>2172</v>
      </c>
      <c r="AF181" t="s">
        <v>3</v>
      </c>
    </row>
    <row r="182" spans="1:32" x14ac:dyDescent="0.25">
      <c r="A182">
        <v>180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>
        <v>2175</v>
      </c>
      <c r="AF182" t="s">
        <v>2</v>
      </c>
    </row>
    <row r="183" spans="1:32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>
        <v>2184</v>
      </c>
      <c r="AF183" t="s">
        <v>3</v>
      </c>
    </row>
    <row r="184" spans="1:32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4</v>
      </c>
      <c r="AD184" t="s">
        <v>3</v>
      </c>
      <c r="AE184">
        <v>2198</v>
      </c>
      <c r="AF184" t="s">
        <v>3</v>
      </c>
    </row>
    <row r="185" spans="1:32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>
        <v>2214</v>
      </c>
      <c r="AF185" t="s">
        <v>3</v>
      </c>
    </row>
    <row r="186" spans="1:32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4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>
        <v>2215</v>
      </c>
      <c r="AF186" t="s">
        <v>4</v>
      </c>
    </row>
    <row r="187" spans="1:32" x14ac:dyDescent="0.25">
      <c r="A187">
        <v>185</v>
      </c>
      <c r="B187" t="s">
        <v>2</v>
      </c>
      <c r="C187" t="s">
        <v>2</v>
      </c>
      <c r="D187" t="s">
        <v>3</v>
      </c>
      <c r="E187" t="s">
        <v>3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>
        <v>2225</v>
      </c>
      <c r="AF187" t="s">
        <v>2</v>
      </c>
    </row>
    <row r="188" spans="1:32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>
        <v>2230</v>
      </c>
      <c r="AF188" t="s">
        <v>3</v>
      </c>
    </row>
    <row r="189" spans="1:32" x14ac:dyDescent="0.25">
      <c r="A189">
        <v>187</v>
      </c>
      <c r="B189" t="s">
        <v>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>
        <v>2248</v>
      </c>
      <c r="AF189" t="s">
        <v>3</v>
      </c>
    </row>
    <row r="190" spans="1:32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>
        <v>2266</v>
      </c>
      <c r="AF190" t="s">
        <v>2</v>
      </c>
    </row>
    <row r="191" spans="1:32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>
        <v>2275</v>
      </c>
      <c r="AF191" t="s">
        <v>3</v>
      </c>
    </row>
    <row r="192" spans="1:32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>
        <v>2293</v>
      </c>
      <c r="AF192" t="s">
        <v>3</v>
      </c>
    </row>
    <row r="193" spans="1:32" x14ac:dyDescent="0.25">
      <c r="A193">
        <v>191</v>
      </c>
      <c r="B193" t="s">
        <v>2</v>
      </c>
      <c r="C193" t="s">
        <v>2</v>
      </c>
      <c r="D193" t="s">
        <v>2</v>
      </c>
      <c r="E193" t="s">
        <v>4</v>
      </c>
      <c r="F193" t="s">
        <v>4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>
        <v>2301</v>
      </c>
      <c r="AF193" t="s">
        <v>4</v>
      </c>
    </row>
    <row r="194" spans="1:32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>
        <v>2305</v>
      </c>
      <c r="AF194" t="s">
        <v>2</v>
      </c>
    </row>
    <row r="195" spans="1:32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>
        <v>2321</v>
      </c>
      <c r="AF195" t="s">
        <v>3</v>
      </c>
    </row>
    <row r="196" spans="1:32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>
        <v>2343</v>
      </c>
      <c r="AF196" t="s">
        <v>3</v>
      </c>
    </row>
    <row r="197" spans="1:32" x14ac:dyDescent="0.25">
      <c r="A197">
        <v>195</v>
      </c>
      <c r="B197" t="s">
        <v>2</v>
      </c>
      <c r="C197" t="s">
        <v>2</v>
      </c>
      <c r="D197" t="s">
        <v>2</v>
      </c>
      <c r="E197" t="s">
        <v>2</v>
      </c>
      <c r="F197" t="s">
        <v>3</v>
      </c>
      <c r="G197" t="s">
        <v>2</v>
      </c>
      <c r="H197" t="s">
        <v>2</v>
      </c>
      <c r="I197" t="s">
        <v>3</v>
      </c>
      <c r="J197" t="s">
        <v>3</v>
      </c>
      <c r="K197" t="s">
        <v>3</v>
      </c>
      <c r="L197" t="s">
        <v>2</v>
      </c>
      <c r="M197" t="s">
        <v>2</v>
      </c>
      <c r="N197" t="s">
        <v>2</v>
      </c>
      <c r="O197" t="s">
        <v>2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>
        <v>2346</v>
      </c>
      <c r="AF197" t="s">
        <v>4</v>
      </c>
    </row>
    <row r="198" spans="1:32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E198">
        <v>2351</v>
      </c>
      <c r="AF198" t="s">
        <v>3</v>
      </c>
    </row>
    <row r="199" spans="1:32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>
        <v>2354</v>
      </c>
      <c r="AF199" t="s">
        <v>2</v>
      </c>
    </row>
    <row r="200" spans="1:32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E200">
        <v>2364</v>
      </c>
      <c r="AF200" t="s">
        <v>3</v>
      </c>
    </row>
    <row r="201" spans="1:32" x14ac:dyDescent="0.25">
      <c r="A201">
        <v>199</v>
      </c>
      <c r="B201" t="s">
        <v>2</v>
      </c>
      <c r="C201" t="s">
        <v>2</v>
      </c>
      <c r="D201" t="s">
        <v>2</v>
      </c>
      <c r="E201" t="s">
        <v>3</v>
      </c>
      <c r="F201" t="s">
        <v>2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>
        <v>2365</v>
      </c>
      <c r="AF2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Act-Pass_knn</vt:lpstr>
      <vt:lpstr>Act-Fail_knn</vt:lpstr>
      <vt:lpstr>Act-Dropout_knn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2024-07-31T07:32:15Z</dcterms:modified>
</cp:coreProperties>
</file>