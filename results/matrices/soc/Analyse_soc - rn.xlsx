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soc\"/>
    </mc:Choice>
  </mc:AlternateContent>
  <xr:revisionPtr revIDLastSave="0" documentId="13_ncr:1_{6372C05C-D78D-4D66-AD3F-35B12D278475}" xr6:coauthVersionLast="47" xr6:coauthVersionMax="47" xr10:uidLastSave="{00000000-0000-0000-0000-000000000000}"/>
  <bookViews>
    <workbookView xWindow="28680" yWindow="-120" windowWidth="29040" windowHeight="15840" activeTab="2" xr2:uid="{26EEB946-AE10-4C80-93AD-87C66CBD13A1}"/>
  </bookViews>
  <sheets>
    <sheet name="Soc-Pass_rn" sheetId="1" r:id="rId1"/>
    <sheet name="Soc-Fail_rn" sheetId="5" r:id="rId2"/>
    <sheet name="Soc-Dropout_rn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 l="1"/>
  <c r="R5" i="4"/>
  <c r="R6" i="4" s="1"/>
  <c r="C5" i="4"/>
  <c r="C12" i="4" s="1"/>
  <c r="B5" i="4"/>
  <c r="B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K7" i="1"/>
  <c r="K8" i="1" s="1"/>
  <c r="Z7" i="1"/>
  <c r="Z8" i="1" s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Z5" i="1"/>
  <c r="Z6" i="1" s="1"/>
  <c r="AB5" i="1"/>
  <c r="AB12" i="1" s="1"/>
  <c r="AC6" i="1"/>
  <c r="AD5" i="1"/>
  <c r="AD6" i="1" s="1"/>
  <c r="H5" i="1"/>
  <c r="H12" i="1" s="1"/>
  <c r="AD11" i="5" l="1"/>
  <c r="AD7" i="1"/>
  <c r="AD8" i="1" s="1"/>
  <c r="H11" i="1"/>
  <c r="AA11" i="1"/>
  <c r="K11" i="1"/>
  <c r="Y11" i="1"/>
  <c r="AC11" i="1"/>
  <c r="X11" i="1"/>
  <c r="S11" i="1"/>
  <c r="Q11" i="1"/>
  <c r="B12" i="1"/>
  <c r="D6" i="4"/>
  <c r="D7" i="4" s="1"/>
  <c r="D8" i="4" s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<sst xmlns="http://schemas.openxmlformats.org/spreadsheetml/2006/main" count="6042" uniqueCount="27">
  <si>
    <t>Accuracy</t>
  </si>
  <si>
    <t>Erreur</t>
  </si>
  <si>
    <t>Rappel</t>
  </si>
  <si>
    <t>Précision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</si>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</sst>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'Soc-Pass_rn'!$A$7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'Soc-Pass_rn'!$B$7:$AD$7</c:f>
              <c:numCache>
                <c:formatCode>General</c:formatCode>
                <c:ptCount val="29"/>
                <c:pt idx="0">
                  <c:v>0.47</c:v>
                </c:pt>
                <c:pt idx="1">
                  <c:v>0.74</c:v>
                </c:pt>
                <c:pt idx="2">
                  <c:v>0.73499999999999999</c:v>
                </c:pt>
                <c:pt idx="3">
                  <c:v>0.73499999999999999</c:v>
                </c:pt>
                <c:pt idx="4">
                  <c:v>0.33</c:v>
                </c:pt>
                <c:pt idx="5">
                  <c:v>0.35499999999999998</c:v>
                </c:pt>
                <c:pt idx="6">
                  <c:v>0.46500000000000002</c:v>
                </c:pt>
                <c:pt idx="7">
                  <c:v>0.47</c:v>
                </c:pt>
                <c:pt idx="8">
                  <c:v>0.48499999999999999</c:v>
                </c:pt>
                <c:pt idx="9">
                  <c:v>0.47</c:v>
                </c:pt>
                <c:pt idx="10">
                  <c:v>0.435</c:v>
                </c:pt>
                <c:pt idx="11">
                  <c:v>0.41</c:v>
                </c:pt>
                <c:pt idx="12">
                  <c:v>0.47</c:v>
                </c:pt>
                <c:pt idx="13">
                  <c:v>0.47499999999999998</c:v>
                </c:pt>
                <c:pt idx="14">
                  <c:v>0.56000000000000005</c:v>
                </c:pt>
                <c:pt idx="15">
                  <c:v>0.47</c:v>
                </c:pt>
                <c:pt idx="16">
                  <c:v>0.47</c:v>
                </c:pt>
                <c:pt idx="17">
                  <c:v>0.74</c:v>
                </c:pt>
                <c:pt idx="18">
                  <c:v>0.47</c:v>
                </c:pt>
                <c:pt idx="19">
                  <c:v>0.58499999999999996</c:v>
                </c:pt>
                <c:pt idx="20">
                  <c:v>0.77</c:v>
                </c:pt>
                <c:pt idx="21">
                  <c:v>0.62</c:v>
                </c:pt>
                <c:pt idx="22">
                  <c:v>0.77</c:v>
                </c:pt>
                <c:pt idx="23">
                  <c:v>0.77</c:v>
                </c:pt>
                <c:pt idx="24">
                  <c:v>0.47</c:v>
                </c:pt>
                <c:pt idx="25">
                  <c:v>0.505</c:v>
                </c:pt>
                <c:pt idx="26">
                  <c:v>0.77</c:v>
                </c:pt>
                <c:pt idx="27">
                  <c:v>0.435</c:v>
                </c:pt>
                <c:pt idx="28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'Soc-Pass_rn'!$A$9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'Soc-Pass_rn'!$B$9:$AD$9</c:f>
              <c:numCache>
                <c:formatCode>General</c:formatCode>
                <c:ptCount val="29"/>
                <c:pt idx="0">
                  <c:v>1</c:v>
                </c:pt>
                <c:pt idx="1">
                  <c:v>0.56382978723404253</c:v>
                </c:pt>
                <c:pt idx="2">
                  <c:v>0.56382978723404253</c:v>
                </c:pt>
                <c:pt idx="3">
                  <c:v>0.56382978723404253</c:v>
                </c:pt>
                <c:pt idx="4">
                  <c:v>0.55319148936170215</c:v>
                </c:pt>
                <c:pt idx="5">
                  <c:v>0.62765957446808507</c:v>
                </c:pt>
                <c:pt idx="6">
                  <c:v>0.98936170212765961</c:v>
                </c:pt>
                <c:pt idx="7">
                  <c:v>1</c:v>
                </c:pt>
                <c:pt idx="8">
                  <c:v>0.67021276595744683</c:v>
                </c:pt>
                <c:pt idx="9">
                  <c:v>1</c:v>
                </c:pt>
                <c:pt idx="10">
                  <c:v>0.62765957446808507</c:v>
                </c:pt>
                <c:pt idx="11">
                  <c:v>0.38297872340425532</c:v>
                </c:pt>
                <c:pt idx="12">
                  <c:v>0.98936170212765961</c:v>
                </c:pt>
                <c:pt idx="13">
                  <c:v>1</c:v>
                </c:pt>
                <c:pt idx="14">
                  <c:v>0.67021276595744683</c:v>
                </c:pt>
                <c:pt idx="15">
                  <c:v>1</c:v>
                </c:pt>
                <c:pt idx="16">
                  <c:v>1</c:v>
                </c:pt>
                <c:pt idx="17">
                  <c:v>0.56382978723404253</c:v>
                </c:pt>
                <c:pt idx="18">
                  <c:v>1</c:v>
                </c:pt>
                <c:pt idx="19">
                  <c:v>0.54255319148936165</c:v>
                </c:pt>
                <c:pt idx="20">
                  <c:v>0.62765957446808507</c:v>
                </c:pt>
                <c:pt idx="21">
                  <c:v>0.55319148936170215</c:v>
                </c:pt>
                <c:pt idx="22">
                  <c:v>0.62765957446808507</c:v>
                </c:pt>
                <c:pt idx="23">
                  <c:v>0.62765957446808507</c:v>
                </c:pt>
                <c:pt idx="24">
                  <c:v>1</c:v>
                </c:pt>
                <c:pt idx="25">
                  <c:v>0.61702127659574468</c:v>
                </c:pt>
                <c:pt idx="26">
                  <c:v>0.62765957446808507</c:v>
                </c:pt>
                <c:pt idx="27">
                  <c:v>0.40425531914893614</c:v>
                </c:pt>
                <c:pt idx="28">
                  <c:v>0.68085106382978722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'Soc-Pass_rn'!$A$10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'Soc-Pass_rn'!$B$10:$AD$10</c:f>
              <c:numCache>
                <c:formatCode>General</c:formatCode>
                <c:ptCount val="29"/>
                <c:pt idx="0">
                  <c:v>0.47</c:v>
                </c:pt>
                <c:pt idx="1">
                  <c:v>0.828125</c:v>
                </c:pt>
                <c:pt idx="2">
                  <c:v>0.81538461538461537</c:v>
                </c:pt>
                <c:pt idx="3">
                  <c:v>0.81538461538461537</c:v>
                </c:pt>
                <c:pt idx="4">
                  <c:v>0.3611111111111111</c:v>
                </c:pt>
                <c:pt idx="5">
                  <c:v>0.38562091503267976</c:v>
                </c:pt>
                <c:pt idx="6">
                  <c:v>0.46733668341708545</c:v>
                </c:pt>
                <c:pt idx="7">
                  <c:v>0.47</c:v>
                </c:pt>
                <c:pt idx="8">
                  <c:v>0.46666666666666667</c:v>
                </c:pt>
                <c:pt idx="9">
                  <c:v>0.47</c:v>
                </c:pt>
                <c:pt idx="10">
                  <c:v>0.43065693430656932</c:v>
                </c:pt>
                <c:pt idx="11">
                  <c:v>0.375</c:v>
                </c:pt>
                <c:pt idx="12">
                  <c:v>0.46969696969696972</c:v>
                </c:pt>
                <c:pt idx="13">
                  <c:v>0.47236180904522612</c:v>
                </c:pt>
                <c:pt idx="14">
                  <c:v>0.52500000000000002</c:v>
                </c:pt>
                <c:pt idx="15">
                  <c:v>0.47</c:v>
                </c:pt>
                <c:pt idx="16">
                  <c:v>0.47</c:v>
                </c:pt>
                <c:pt idx="17">
                  <c:v>0.828125</c:v>
                </c:pt>
                <c:pt idx="18">
                  <c:v>0.47</c:v>
                </c:pt>
                <c:pt idx="19">
                  <c:v>0.56043956043956045</c:v>
                </c:pt>
                <c:pt idx="20">
                  <c:v>0.84285714285714286</c:v>
                </c:pt>
                <c:pt idx="21">
                  <c:v>0.60465116279069764</c:v>
                </c:pt>
                <c:pt idx="22">
                  <c:v>0.84285714285714286</c:v>
                </c:pt>
                <c:pt idx="23">
                  <c:v>0.84285714285714286</c:v>
                </c:pt>
                <c:pt idx="24">
                  <c:v>0.47</c:v>
                </c:pt>
                <c:pt idx="25">
                  <c:v>0.47933884297520662</c:v>
                </c:pt>
                <c:pt idx="26">
                  <c:v>0.84285714285714286</c:v>
                </c:pt>
                <c:pt idx="27">
                  <c:v>0.4</c:v>
                </c:pt>
                <c:pt idx="28">
                  <c:v>0.58181818181818179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'Soc-Pass_rn'!$A$11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'Soc-Pass_rn'!$B$11:$AD$11</c:f>
              <c:numCache>
                <c:formatCode>General</c:formatCode>
                <c:ptCount val="29"/>
                <c:pt idx="0">
                  <c:v>0.6394557823129251</c:v>
                </c:pt>
                <c:pt idx="1">
                  <c:v>0.670886075949367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0.43697478991596644</c:v>
                </c:pt>
                <c:pt idx="5">
                  <c:v>0.47773279352226722</c:v>
                </c:pt>
                <c:pt idx="6">
                  <c:v>0.6348122866894198</c:v>
                </c:pt>
                <c:pt idx="7">
                  <c:v>0.6394557823129251</c:v>
                </c:pt>
                <c:pt idx="8">
                  <c:v>0.55021834061135377</c:v>
                </c:pt>
                <c:pt idx="9">
                  <c:v>0.6394557823129251</c:v>
                </c:pt>
                <c:pt idx="10">
                  <c:v>0.51082251082251084</c:v>
                </c:pt>
                <c:pt idx="11">
                  <c:v>0.37894736842105264</c:v>
                </c:pt>
                <c:pt idx="12">
                  <c:v>0.63698630136986301</c:v>
                </c:pt>
                <c:pt idx="13">
                  <c:v>0.64163822525597269</c:v>
                </c:pt>
                <c:pt idx="14">
                  <c:v>0.58878504672897192</c:v>
                </c:pt>
                <c:pt idx="15">
                  <c:v>0.6394557823129251</c:v>
                </c:pt>
                <c:pt idx="16">
                  <c:v>0.6394557823129251</c:v>
                </c:pt>
                <c:pt idx="17">
                  <c:v>0.670886075949367</c:v>
                </c:pt>
                <c:pt idx="18">
                  <c:v>0.6394557823129251</c:v>
                </c:pt>
                <c:pt idx="19">
                  <c:v>0.55135135135135127</c:v>
                </c:pt>
                <c:pt idx="20">
                  <c:v>0.71951219512195119</c:v>
                </c:pt>
                <c:pt idx="21">
                  <c:v>0.57777777777777783</c:v>
                </c:pt>
                <c:pt idx="22">
                  <c:v>0.71951219512195119</c:v>
                </c:pt>
                <c:pt idx="23">
                  <c:v>0.71951219512195119</c:v>
                </c:pt>
                <c:pt idx="24">
                  <c:v>0.6394557823129251</c:v>
                </c:pt>
                <c:pt idx="25">
                  <c:v>0.53953488372093017</c:v>
                </c:pt>
                <c:pt idx="26">
                  <c:v>0.71951219512195119</c:v>
                </c:pt>
                <c:pt idx="27">
                  <c:v>0.40211640211640215</c:v>
                </c:pt>
                <c:pt idx="28">
                  <c:v>0.62745098039215697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'Soc-Pass_rn'!$A$12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'Soc-Pass_rn'!$B$12:$AD$12</c:f>
              <c:numCache>
                <c:formatCode>General</c:formatCode>
                <c:ptCount val="29"/>
                <c:pt idx="0">
                  <c:v>0</c:v>
                </c:pt>
                <c:pt idx="1">
                  <c:v>0.89622641509433965</c:v>
                </c:pt>
                <c:pt idx="2">
                  <c:v>0.8867924528301887</c:v>
                </c:pt>
                <c:pt idx="3">
                  <c:v>0.8867924528301887</c:v>
                </c:pt>
                <c:pt idx="4">
                  <c:v>0.13207547169811321</c:v>
                </c:pt>
                <c:pt idx="5">
                  <c:v>0.11320754716981132</c:v>
                </c:pt>
                <c:pt idx="6">
                  <c:v>0</c:v>
                </c:pt>
                <c:pt idx="7">
                  <c:v>0</c:v>
                </c:pt>
                <c:pt idx="8">
                  <c:v>0.32075471698113206</c:v>
                </c:pt>
                <c:pt idx="9">
                  <c:v>0</c:v>
                </c:pt>
                <c:pt idx="10">
                  <c:v>0.26415094339622641</c:v>
                </c:pt>
                <c:pt idx="11">
                  <c:v>0.43396226415094341</c:v>
                </c:pt>
                <c:pt idx="12">
                  <c:v>9.433962264150943E-3</c:v>
                </c:pt>
                <c:pt idx="13">
                  <c:v>9.433962264150943E-3</c:v>
                </c:pt>
                <c:pt idx="14">
                  <c:v>0.46226415094339623</c:v>
                </c:pt>
                <c:pt idx="15">
                  <c:v>0</c:v>
                </c:pt>
                <c:pt idx="16">
                  <c:v>0</c:v>
                </c:pt>
                <c:pt idx="17">
                  <c:v>0.89622641509433965</c:v>
                </c:pt>
                <c:pt idx="18">
                  <c:v>0</c:v>
                </c:pt>
                <c:pt idx="19">
                  <c:v>0.62264150943396224</c:v>
                </c:pt>
                <c:pt idx="20">
                  <c:v>0.89622641509433965</c:v>
                </c:pt>
                <c:pt idx="21">
                  <c:v>0.67924528301886788</c:v>
                </c:pt>
                <c:pt idx="22">
                  <c:v>0.89622641509433965</c:v>
                </c:pt>
                <c:pt idx="23">
                  <c:v>0.89622641509433965</c:v>
                </c:pt>
                <c:pt idx="24">
                  <c:v>0</c:v>
                </c:pt>
                <c:pt idx="25">
                  <c:v>0.40566037735849059</c:v>
                </c:pt>
                <c:pt idx="26">
                  <c:v>0.89622641509433965</c:v>
                </c:pt>
                <c:pt idx="27">
                  <c:v>0.46226415094339623</c:v>
                </c:pt>
                <c:pt idx="28">
                  <c:v>0.56603773584905659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'Soc-Pass_rn'!$A$1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'Soc-Pass_rn'!$B$1:$AD$1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94</c:v>
                      </c:pt>
                      <c:pt idx="1">
                        <c:v>53</c:v>
                      </c:pt>
                      <c:pt idx="2">
                        <c:v>53</c:v>
                      </c:pt>
                      <c:pt idx="3">
                        <c:v>53</c:v>
                      </c:pt>
                      <c:pt idx="4">
                        <c:v>52</c:v>
                      </c:pt>
                      <c:pt idx="5">
                        <c:v>59</c:v>
                      </c:pt>
                      <c:pt idx="6">
                        <c:v>93</c:v>
                      </c:pt>
                      <c:pt idx="7">
                        <c:v>94</c:v>
                      </c:pt>
                      <c:pt idx="8">
                        <c:v>63</c:v>
                      </c:pt>
                      <c:pt idx="9">
                        <c:v>94</c:v>
                      </c:pt>
                      <c:pt idx="10">
                        <c:v>59</c:v>
                      </c:pt>
                      <c:pt idx="11">
                        <c:v>36</c:v>
                      </c:pt>
                      <c:pt idx="12">
                        <c:v>93</c:v>
                      </c:pt>
                      <c:pt idx="13">
                        <c:v>94</c:v>
                      </c:pt>
                      <c:pt idx="14">
                        <c:v>63</c:v>
                      </c:pt>
                      <c:pt idx="15">
                        <c:v>94</c:v>
                      </c:pt>
                      <c:pt idx="16">
                        <c:v>94</c:v>
                      </c:pt>
                      <c:pt idx="17">
                        <c:v>53</c:v>
                      </c:pt>
                      <c:pt idx="18">
                        <c:v>94</c:v>
                      </c:pt>
                      <c:pt idx="19">
                        <c:v>51</c:v>
                      </c:pt>
                      <c:pt idx="20">
                        <c:v>59</c:v>
                      </c:pt>
                      <c:pt idx="21">
                        <c:v>52</c:v>
                      </c:pt>
                      <c:pt idx="22">
                        <c:v>59</c:v>
                      </c:pt>
                      <c:pt idx="23">
                        <c:v>59</c:v>
                      </c:pt>
                      <c:pt idx="24">
                        <c:v>94</c:v>
                      </c:pt>
                      <c:pt idx="25">
                        <c:v>58</c:v>
                      </c:pt>
                      <c:pt idx="26">
                        <c:v>59</c:v>
                      </c:pt>
                      <c:pt idx="27">
                        <c:v>38</c:v>
                      </c:pt>
                      <c:pt idx="28">
                        <c:v>64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41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42</c:v>
                      </c:pt>
                      <c:pt idx="5">
                        <c:v>35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31</c:v>
                      </c:pt>
                      <c:pt idx="9">
                        <c:v>0</c:v>
                      </c:pt>
                      <c:pt idx="10">
                        <c:v>35</c:v>
                      </c:pt>
                      <c:pt idx="11">
                        <c:v>58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31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41</c:v>
                      </c:pt>
                      <c:pt idx="18">
                        <c:v>0</c:v>
                      </c:pt>
                      <c:pt idx="19">
                        <c:v>43</c:v>
                      </c:pt>
                      <c:pt idx="20">
                        <c:v>35</c:v>
                      </c:pt>
                      <c:pt idx="21">
                        <c:v>42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0</c:v>
                      </c:pt>
                      <c:pt idx="25">
                        <c:v>36</c:v>
                      </c:pt>
                      <c:pt idx="26">
                        <c:v>35</c:v>
                      </c:pt>
                      <c:pt idx="27">
                        <c:v>56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106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92</c:v>
                      </c:pt>
                      <c:pt idx="5">
                        <c:v>94</c:v>
                      </c:pt>
                      <c:pt idx="6">
                        <c:v>106</c:v>
                      </c:pt>
                      <c:pt idx="7">
                        <c:v>106</c:v>
                      </c:pt>
                      <c:pt idx="8">
                        <c:v>72</c:v>
                      </c:pt>
                      <c:pt idx="9">
                        <c:v>106</c:v>
                      </c:pt>
                      <c:pt idx="10">
                        <c:v>78</c:v>
                      </c:pt>
                      <c:pt idx="11">
                        <c:v>60</c:v>
                      </c:pt>
                      <c:pt idx="12">
                        <c:v>105</c:v>
                      </c:pt>
                      <c:pt idx="13">
                        <c:v>105</c:v>
                      </c:pt>
                      <c:pt idx="14">
                        <c:v>57</c:v>
                      </c:pt>
                      <c:pt idx="15">
                        <c:v>106</c:v>
                      </c:pt>
                      <c:pt idx="16">
                        <c:v>106</c:v>
                      </c:pt>
                      <c:pt idx="17">
                        <c:v>11</c:v>
                      </c:pt>
                      <c:pt idx="18">
                        <c:v>106</c:v>
                      </c:pt>
                      <c:pt idx="19">
                        <c:v>40</c:v>
                      </c:pt>
                      <c:pt idx="20">
                        <c:v>11</c:v>
                      </c:pt>
                      <c:pt idx="21">
                        <c:v>34</c:v>
                      </c:pt>
                      <c:pt idx="22">
                        <c:v>11</c:v>
                      </c:pt>
                      <c:pt idx="23">
                        <c:v>11</c:v>
                      </c:pt>
                      <c:pt idx="24">
                        <c:v>106</c:v>
                      </c:pt>
                      <c:pt idx="25">
                        <c:v>63</c:v>
                      </c:pt>
                      <c:pt idx="26">
                        <c:v>11</c:v>
                      </c:pt>
                      <c:pt idx="27">
                        <c:v>57</c:v>
                      </c:pt>
                      <c:pt idx="28">
                        <c:v>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95</c:v>
                      </c:pt>
                      <c:pt idx="2">
                        <c:v>94</c:v>
                      </c:pt>
                      <c:pt idx="3">
                        <c:v>94</c:v>
                      </c:pt>
                      <c:pt idx="4">
                        <c:v>14</c:v>
                      </c:pt>
                      <c:pt idx="5">
                        <c:v>12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34</c:v>
                      </c:pt>
                      <c:pt idx="9">
                        <c:v>0</c:v>
                      </c:pt>
                      <c:pt idx="10">
                        <c:v>28</c:v>
                      </c:pt>
                      <c:pt idx="11">
                        <c:v>46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49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95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95</c:v>
                      </c:pt>
                      <c:pt idx="21">
                        <c:v>72</c:v>
                      </c:pt>
                      <c:pt idx="22">
                        <c:v>95</c:v>
                      </c:pt>
                      <c:pt idx="23">
                        <c:v>95</c:v>
                      </c:pt>
                      <c:pt idx="24">
                        <c:v>0</c:v>
                      </c:pt>
                      <c:pt idx="25">
                        <c:v>43</c:v>
                      </c:pt>
                      <c:pt idx="26">
                        <c:v>95</c:v>
                      </c:pt>
                      <c:pt idx="27">
                        <c:v>49</c:v>
                      </c:pt>
                      <c:pt idx="2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'Soc-Pass_rn'!$B$8:$AD$8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0.53</c:v>
                      </c:pt>
                      <c:pt idx="1">
                        <c:v>0.26</c:v>
                      </c:pt>
                      <c:pt idx="2">
                        <c:v>0.26500000000000001</c:v>
                      </c:pt>
                      <c:pt idx="3">
                        <c:v>0.26500000000000001</c:v>
                      </c:pt>
                      <c:pt idx="4">
                        <c:v>0.66999999999999993</c:v>
                      </c:pt>
                      <c:pt idx="5">
                        <c:v>0.64500000000000002</c:v>
                      </c:pt>
                      <c:pt idx="6">
                        <c:v>0.53499999999999992</c:v>
                      </c:pt>
                      <c:pt idx="7">
                        <c:v>0.53</c:v>
                      </c:pt>
                      <c:pt idx="8">
                        <c:v>0.51500000000000001</c:v>
                      </c:pt>
                      <c:pt idx="9">
                        <c:v>0.53</c:v>
                      </c:pt>
                      <c:pt idx="10">
                        <c:v>0.56499999999999995</c:v>
                      </c:pt>
                      <c:pt idx="11">
                        <c:v>0.59000000000000008</c:v>
                      </c:pt>
                      <c:pt idx="12">
                        <c:v>0.53</c:v>
                      </c:pt>
                      <c:pt idx="13">
                        <c:v>0.52500000000000002</c:v>
                      </c:pt>
                      <c:pt idx="14">
                        <c:v>0.43999999999999995</c:v>
                      </c:pt>
                      <c:pt idx="15">
                        <c:v>0.53</c:v>
                      </c:pt>
                      <c:pt idx="16">
                        <c:v>0.53</c:v>
                      </c:pt>
                      <c:pt idx="17">
                        <c:v>0.26</c:v>
                      </c:pt>
                      <c:pt idx="18">
                        <c:v>0.53</c:v>
                      </c:pt>
                      <c:pt idx="19">
                        <c:v>0.41500000000000004</c:v>
                      </c:pt>
                      <c:pt idx="20">
                        <c:v>0.22999999999999998</c:v>
                      </c:pt>
                      <c:pt idx="21">
                        <c:v>0.38</c:v>
                      </c:pt>
                      <c:pt idx="22">
                        <c:v>0.22999999999999998</c:v>
                      </c:pt>
                      <c:pt idx="23">
                        <c:v>0.22999999999999998</c:v>
                      </c:pt>
                      <c:pt idx="24">
                        <c:v>0.53</c:v>
                      </c:pt>
                      <c:pt idx="25">
                        <c:v>0.495</c:v>
                      </c:pt>
                      <c:pt idx="26">
                        <c:v>0.22999999999999998</c:v>
                      </c:pt>
                      <c:pt idx="27">
                        <c:v>0.56499999999999995</c:v>
                      </c:pt>
                      <c:pt idx="28">
                        <c:v>0.38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"/>
          <c:min val="0.4100000000000000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'Soc-Fail_rn'!$A$7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'Soc-Fail_rn'!$B$7:$AD$7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0.82499999999999996</c:v>
                </c:pt>
                <c:pt idx="7">
                  <c:v>0.83</c:v>
                </c:pt>
                <c:pt idx="8">
                  <c:v>0.63500000000000001</c:v>
                </c:pt>
                <c:pt idx="9">
                  <c:v>0.83</c:v>
                </c:pt>
                <c:pt idx="10">
                  <c:v>0.83</c:v>
                </c:pt>
                <c:pt idx="11">
                  <c:v>0.83</c:v>
                </c:pt>
                <c:pt idx="12">
                  <c:v>0.83</c:v>
                </c:pt>
                <c:pt idx="13">
                  <c:v>0.83</c:v>
                </c:pt>
                <c:pt idx="14">
                  <c:v>0.62</c:v>
                </c:pt>
                <c:pt idx="15">
                  <c:v>0.83</c:v>
                </c:pt>
                <c:pt idx="16">
                  <c:v>0.83</c:v>
                </c:pt>
                <c:pt idx="17">
                  <c:v>0.82499999999999996</c:v>
                </c:pt>
                <c:pt idx="18">
                  <c:v>0.83</c:v>
                </c:pt>
                <c:pt idx="19">
                  <c:v>0.82</c:v>
                </c:pt>
                <c:pt idx="20">
                  <c:v>0.83</c:v>
                </c:pt>
                <c:pt idx="21">
                  <c:v>0.83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0.83</c:v>
                </c:pt>
                <c:pt idx="27">
                  <c:v>0.83</c:v>
                </c:pt>
                <c:pt idx="28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7"/>
          <c:order val="7"/>
          <c:tx>
            <c:strRef>
              <c:f>'Soc-Fail_rn'!$A$8</c:f>
              <c:strCache>
                <c:ptCount val="1"/>
                <c:pt idx="0">
                  <c:v>Erreur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'Soc-Fail_rn'!$B$8:$AD$8</c:f>
              <c:numCache>
                <c:formatCode>General</c:formatCode>
                <c:ptCount val="29"/>
                <c:pt idx="0">
                  <c:v>0.17000000000000004</c:v>
                </c:pt>
                <c:pt idx="1">
                  <c:v>0.17000000000000004</c:v>
                </c:pt>
                <c:pt idx="2">
                  <c:v>0.17000000000000004</c:v>
                </c:pt>
                <c:pt idx="3">
                  <c:v>0.17000000000000004</c:v>
                </c:pt>
                <c:pt idx="4">
                  <c:v>0.17000000000000004</c:v>
                </c:pt>
                <c:pt idx="5">
                  <c:v>0.17000000000000004</c:v>
                </c:pt>
                <c:pt idx="6">
                  <c:v>0.17500000000000004</c:v>
                </c:pt>
                <c:pt idx="7">
                  <c:v>0.17000000000000004</c:v>
                </c:pt>
                <c:pt idx="8">
                  <c:v>0.36499999999999999</c:v>
                </c:pt>
                <c:pt idx="9">
                  <c:v>0.17000000000000004</c:v>
                </c:pt>
                <c:pt idx="10">
                  <c:v>0.17000000000000004</c:v>
                </c:pt>
                <c:pt idx="11">
                  <c:v>0.17000000000000004</c:v>
                </c:pt>
                <c:pt idx="12">
                  <c:v>0.17000000000000004</c:v>
                </c:pt>
                <c:pt idx="13">
                  <c:v>0.17000000000000004</c:v>
                </c:pt>
                <c:pt idx="14">
                  <c:v>0.38</c:v>
                </c:pt>
                <c:pt idx="15">
                  <c:v>0.17000000000000004</c:v>
                </c:pt>
                <c:pt idx="16">
                  <c:v>0.17000000000000004</c:v>
                </c:pt>
                <c:pt idx="17">
                  <c:v>0.17500000000000004</c:v>
                </c:pt>
                <c:pt idx="18">
                  <c:v>0.17000000000000004</c:v>
                </c:pt>
                <c:pt idx="19">
                  <c:v>0.18000000000000005</c:v>
                </c:pt>
                <c:pt idx="20">
                  <c:v>0.17000000000000004</c:v>
                </c:pt>
                <c:pt idx="21">
                  <c:v>0.17000000000000004</c:v>
                </c:pt>
                <c:pt idx="22">
                  <c:v>0.17000000000000004</c:v>
                </c:pt>
                <c:pt idx="23">
                  <c:v>0.17000000000000004</c:v>
                </c:pt>
                <c:pt idx="24">
                  <c:v>0.17000000000000004</c:v>
                </c:pt>
                <c:pt idx="25">
                  <c:v>0.17000000000000004</c:v>
                </c:pt>
                <c:pt idx="26">
                  <c:v>0.17000000000000004</c:v>
                </c:pt>
                <c:pt idx="27">
                  <c:v>0.17000000000000004</c:v>
                </c:pt>
                <c:pt idx="28">
                  <c:v>0.41000000000000003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DCE2-433F-8480-6EF6029FDEC5}"/>
            </c:ext>
          </c:extLst>
        </c:ser>
        <c:ser>
          <c:idx val="8"/>
          <c:order val="8"/>
          <c:tx>
            <c:strRef>
              <c:f>'Soc-Fail_rn'!$A$9</c:f>
              <c:strCache>
                <c:ptCount val="1"/>
                <c:pt idx="0">
                  <c:v>Rappel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'Soc-Fail_rn'!$B$9:$AD$9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0.38235294117647056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0.55882352941176472</c:v>
                </c:pt>
                <c:pt idx="15">
                  <c:v>0</c:v>
                </c:pt>
                <c:pt idx="16">
                  <c:v>0</c:v>
                </c:pt>
                <c:pt idx="17">
                  <c:v>2.9411764705882353E-2</c:v>
                </c:pt>
                <c:pt idx="18">
                  <c:v>0</c:v>
                </c:pt>
                <c:pt idx="19">
                  <c:v>2.9411764705882353E-2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0.61764705882352944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'Soc-Fail_rn'!$A$10</c:f>
              <c:strCache>
                <c:ptCount val="1"/>
                <c:pt idx="0">
                  <c:v>Précision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'Soc-Fail_rn'!$B$10:$AD$10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0.23749999999999999</c:v>
                </c:pt>
                <c:pt idx="15">
                  <c:v>0</c:v>
                </c:pt>
                <c:pt idx="16">
                  <c:v>0</c:v>
                </c:pt>
                <c:pt idx="17">
                  <c:v>0.33333333333333331</c:v>
                </c:pt>
                <c:pt idx="18">
                  <c:v>0</c:v>
                </c:pt>
                <c:pt idx="19">
                  <c:v>0.25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0.23333333333333334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'Soc-Fail_rn'!$A$11</c:f>
              <c:strCache>
                <c:ptCount val="1"/>
                <c:pt idx="0">
                  <c:v>F-mesure</c:v>
                </c:pt>
              </c:strCache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'Soc-Fail_rn'!$B$11:$AD$11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0.26262626262626265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0.33333333333333331</c:v>
                </c:pt>
                <c:pt idx="15">
                  <c:v>0</c:v>
                </c:pt>
                <c:pt idx="16">
                  <c:v>0</c:v>
                </c:pt>
                <c:pt idx="17">
                  <c:v>5.4054054054054057E-2</c:v>
                </c:pt>
                <c:pt idx="18">
                  <c:v>0</c:v>
                </c:pt>
                <c:pt idx="19">
                  <c:v>5.2631578947368418E-2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0.33870967741935482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'Soc-Fail_rn'!$A$12</c:f>
              <c:strCache>
                <c:ptCount val="1"/>
                <c:pt idx="0">
                  <c:v>Specificity</c:v>
                </c:pt>
              </c:strCache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'Soc-Fail_rn'!$B$12:$AD$12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0.99397590361445787</c:v>
                </c:pt>
                <c:pt idx="7">
                  <c:v>1</c:v>
                </c:pt>
                <c:pt idx="8">
                  <c:v>0.68674698795180722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0.63253012048192769</c:v>
                </c:pt>
                <c:pt idx="15">
                  <c:v>1</c:v>
                </c:pt>
                <c:pt idx="16">
                  <c:v>1</c:v>
                </c:pt>
                <c:pt idx="17">
                  <c:v>0.98795180722891562</c:v>
                </c:pt>
                <c:pt idx="18">
                  <c:v>1</c:v>
                </c:pt>
                <c:pt idx="19">
                  <c:v>0.98192771084337349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0.58433734939759041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'Soc-Fail_rn'!$A$1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'Soc-Fail_rn'!$B$1:$AD$1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21</c:v>
                      </c:pt>
                      <c:pt idx="9">
                        <c:v>34</c:v>
                      </c:pt>
                      <c:pt idx="10">
                        <c:v>34</c:v>
                      </c:pt>
                      <c:pt idx="11">
                        <c:v>34</c:v>
                      </c:pt>
                      <c:pt idx="12">
                        <c:v>34</c:v>
                      </c:pt>
                      <c:pt idx="13">
                        <c:v>34</c:v>
                      </c:pt>
                      <c:pt idx="14">
                        <c:v>15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33</c:v>
                      </c:pt>
                      <c:pt idx="18">
                        <c:v>34</c:v>
                      </c:pt>
                      <c:pt idx="19">
                        <c:v>33</c:v>
                      </c:pt>
                      <c:pt idx="20">
                        <c:v>34</c:v>
                      </c:pt>
                      <c:pt idx="21">
                        <c:v>34</c:v>
                      </c:pt>
                      <c:pt idx="22">
                        <c:v>34</c:v>
                      </c:pt>
                      <c:pt idx="23">
                        <c:v>34</c:v>
                      </c:pt>
                      <c:pt idx="24">
                        <c:v>34</c:v>
                      </c:pt>
                      <c:pt idx="25">
                        <c:v>34</c:v>
                      </c:pt>
                      <c:pt idx="26">
                        <c:v>34</c:v>
                      </c:pt>
                      <c:pt idx="27">
                        <c:v>34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52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61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</c:v>
                      </c:pt>
                      <c:pt idx="18">
                        <c:v>0</c:v>
                      </c:pt>
                      <c:pt idx="19">
                        <c:v>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165</c:v>
                      </c:pt>
                      <c:pt idx="7">
                        <c:v>166</c:v>
                      </c:pt>
                      <c:pt idx="8">
                        <c:v>114</c:v>
                      </c:pt>
                      <c:pt idx="9">
                        <c:v>166</c:v>
                      </c:pt>
                      <c:pt idx="10">
                        <c:v>166</c:v>
                      </c:pt>
                      <c:pt idx="11">
                        <c:v>166</c:v>
                      </c:pt>
                      <c:pt idx="12">
                        <c:v>166</c:v>
                      </c:pt>
                      <c:pt idx="13">
                        <c:v>166</c:v>
                      </c:pt>
                      <c:pt idx="14">
                        <c:v>105</c:v>
                      </c:pt>
                      <c:pt idx="15">
                        <c:v>166</c:v>
                      </c:pt>
                      <c:pt idx="16">
                        <c:v>166</c:v>
                      </c:pt>
                      <c:pt idx="17">
                        <c:v>164</c:v>
                      </c:pt>
                      <c:pt idx="18">
                        <c:v>166</c:v>
                      </c:pt>
                      <c:pt idx="19">
                        <c:v>163</c:v>
                      </c:pt>
                      <c:pt idx="20">
                        <c:v>166</c:v>
                      </c:pt>
                      <c:pt idx="21">
                        <c:v>166</c:v>
                      </c:pt>
                      <c:pt idx="22">
                        <c:v>166</c:v>
                      </c:pt>
                      <c:pt idx="23">
                        <c:v>166</c:v>
                      </c:pt>
                      <c:pt idx="24">
                        <c:v>166</c:v>
                      </c:pt>
                      <c:pt idx="25">
                        <c:v>166</c:v>
                      </c:pt>
                      <c:pt idx="26">
                        <c:v>166</c:v>
                      </c:pt>
                      <c:pt idx="27">
                        <c:v>166</c:v>
                      </c:pt>
                      <c:pt idx="28">
                        <c:v>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'Soc-Fail_rn'!$B$6:$AD$6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'Soc-Dropout_rn'!$A$7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'Soc-Dropout_rn'!$B$7:$AD$7</c:f>
              <c:numCache>
                <c:formatCode>General</c:formatCode>
                <c:ptCount val="29"/>
                <c:pt idx="0">
                  <c:v>0.64</c:v>
                </c:pt>
                <c:pt idx="1">
                  <c:v>0.65</c:v>
                </c:pt>
                <c:pt idx="2">
                  <c:v>0.65500000000000003</c:v>
                </c:pt>
                <c:pt idx="3">
                  <c:v>0.65500000000000003</c:v>
                </c:pt>
                <c:pt idx="4">
                  <c:v>0.46</c:v>
                </c:pt>
                <c:pt idx="5">
                  <c:v>0.48499999999999999</c:v>
                </c:pt>
                <c:pt idx="6">
                  <c:v>0.64</c:v>
                </c:pt>
                <c:pt idx="7">
                  <c:v>0.64</c:v>
                </c:pt>
                <c:pt idx="8">
                  <c:v>0.64</c:v>
                </c:pt>
                <c:pt idx="9">
                  <c:v>0.64</c:v>
                </c:pt>
                <c:pt idx="10">
                  <c:v>0.52500000000000002</c:v>
                </c:pt>
                <c:pt idx="11">
                  <c:v>0.41</c:v>
                </c:pt>
                <c:pt idx="12">
                  <c:v>0.63</c:v>
                </c:pt>
                <c:pt idx="13">
                  <c:v>0.63500000000000001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0.64500000000000002</c:v>
                </c:pt>
                <c:pt idx="18">
                  <c:v>0.64</c:v>
                </c:pt>
                <c:pt idx="19">
                  <c:v>0.53500000000000003</c:v>
                </c:pt>
                <c:pt idx="20">
                  <c:v>0.68</c:v>
                </c:pt>
                <c:pt idx="21">
                  <c:v>0.55000000000000004</c:v>
                </c:pt>
                <c:pt idx="22">
                  <c:v>0.68</c:v>
                </c:pt>
                <c:pt idx="23">
                  <c:v>0.68</c:v>
                </c:pt>
                <c:pt idx="24">
                  <c:v>0.64</c:v>
                </c:pt>
                <c:pt idx="25">
                  <c:v>0.505</c:v>
                </c:pt>
                <c:pt idx="26">
                  <c:v>0.68</c:v>
                </c:pt>
                <c:pt idx="27">
                  <c:v>0.41499999999999998</c:v>
                </c:pt>
                <c:pt idx="28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'Soc-Dropout_rn'!$A$9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'Soc-Dropout_rn'!$B$9:$AD$9</c:f>
              <c:numCache>
                <c:formatCode>General</c:formatCode>
                <c:ptCount val="29"/>
                <c:pt idx="0">
                  <c:v>0</c:v>
                </c:pt>
                <c:pt idx="1">
                  <c:v>0.95833333333333337</c:v>
                </c:pt>
                <c:pt idx="2">
                  <c:v>0.95833333333333337</c:v>
                </c:pt>
                <c:pt idx="3">
                  <c:v>0.95833333333333337</c:v>
                </c:pt>
                <c:pt idx="4">
                  <c:v>0.1388888888888889</c:v>
                </c:pt>
                <c:pt idx="5">
                  <c:v>0.1111111111111111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0.27777777777777779</c:v>
                </c:pt>
                <c:pt idx="11">
                  <c:v>0.40277777777777779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0.93055555555555558</c:v>
                </c:pt>
                <c:pt idx="18">
                  <c:v>0</c:v>
                </c:pt>
                <c:pt idx="19">
                  <c:v>0.58333333333333337</c:v>
                </c:pt>
                <c:pt idx="20">
                  <c:v>0.95833333333333337</c:v>
                </c:pt>
                <c:pt idx="21">
                  <c:v>0.66666666666666663</c:v>
                </c:pt>
                <c:pt idx="22">
                  <c:v>0.95833333333333337</c:v>
                </c:pt>
                <c:pt idx="23">
                  <c:v>0.95833333333333337</c:v>
                </c:pt>
                <c:pt idx="24">
                  <c:v>0</c:v>
                </c:pt>
                <c:pt idx="25">
                  <c:v>0.3611111111111111</c:v>
                </c:pt>
                <c:pt idx="26">
                  <c:v>0.95833333333333337</c:v>
                </c:pt>
                <c:pt idx="27">
                  <c:v>0.41666666666666669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'Soc-Dropout_rn'!$A$10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'Soc-Dropout_rn'!$B$10:$AD$10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0.50735294117647056</c:v>
                </c:pt>
                <c:pt idx="2">
                  <c:v>0.51111111111111107</c:v>
                </c:pt>
                <c:pt idx="3">
                  <c:v>0.51111111111111107</c:v>
                </c:pt>
                <c:pt idx="4">
                  <c:v>0.17857142857142858</c:v>
                </c:pt>
                <c:pt idx="5">
                  <c:v>0.1702127659574468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0.31746031746031744</c:v>
                </c:pt>
                <c:pt idx="11">
                  <c:v>0.27884615384615385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0.50375939849624063</c:v>
                </c:pt>
                <c:pt idx="18">
                  <c:v>0</c:v>
                </c:pt>
                <c:pt idx="19">
                  <c:v>0.4</c:v>
                </c:pt>
                <c:pt idx="20">
                  <c:v>0.53076923076923077</c:v>
                </c:pt>
                <c:pt idx="21">
                  <c:v>0.42105263157894735</c:v>
                </c:pt>
                <c:pt idx="22">
                  <c:v>0.53076923076923077</c:v>
                </c:pt>
                <c:pt idx="23">
                  <c:v>0.53076923076923077</c:v>
                </c:pt>
                <c:pt idx="24">
                  <c:v>0</c:v>
                </c:pt>
                <c:pt idx="25">
                  <c:v>0.32911392405063289</c:v>
                </c:pt>
                <c:pt idx="26">
                  <c:v>0.53076923076923077</c:v>
                </c:pt>
                <c:pt idx="27">
                  <c:v>0.2857142857142857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'Soc-Dropout_rn'!$A$11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'Soc-Dropout_rn'!$B$11:$AD$11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0.66346153846153844</c:v>
                </c:pt>
                <c:pt idx="2">
                  <c:v>0.66666666666666663</c:v>
                </c:pt>
                <c:pt idx="3">
                  <c:v>0.66666666666666663</c:v>
                </c:pt>
                <c:pt idx="4">
                  <c:v>0.15625000000000003</c:v>
                </c:pt>
                <c:pt idx="5">
                  <c:v>0.13445378151260506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0.29629629629629628</c:v>
                </c:pt>
                <c:pt idx="11">
                  <c:v>0.32954545454545453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0.65365853658536588</c:v>
                </c:pt>
                <c:pt idx="18">
                  <c:v>0</c:v>
                </c:pt>
                <c:pt idx="19">
                  <c:v>0.47457627118644069</c:v>
                </c:pt>
                <c:pt idx="20">
                  <c:v>0.68316831683168311</c:v>
                </c:pt>
                <c:pt idx="21">
                  <c:v>0.51612903225806461</c:v>
                </c:pt>
                <c:pt idx="22">
                  <c:v>0.68316831683168311</c:v>
                </c:pt>
                <c:pt idx="23">
                  <c:v>0.68316831683168311</c:v>
                </c:pt>
                <c:pt idx="24">
                  <c:v>0</c:v>
                </c:pt>
                <c:pt idx="25">
                  <c:v>0.34437086092715224</c:v>
                </c:pt>
                <c:pt idx="26">
                  <c:v>0.68316831683168311</c:v>
                </c:pt>
                <c:pt idx="27">
                  <c:v>0.33898305084745761</c:v>
                </c:pt>
                <c:pt idx="28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'Soc-Dropout_rn'!$A$12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'Soc-Dropout_rn'!$B$12:$AD$12</c:f>
              <c:numCache>
                <c:formatCode>General</c:formatCode>
                <c:ptCount val="29"/>
                <c:pt idx="0">
                  <c:v>1</c:v>
                </c:pt>
                <c:pt idx="1">
                  <c:v>0.4765625</c:v>
                </c:pt>
                <c:pt idx="2">
                  <c:v>0.484375</c:v>
                </c:pt>
                <c:pt idx="3">
                  <c:v>0.484375</c:v>
                </c:pt>
                <c:pt idx="4">
                  <c:v>0.640625</c:v>
                </c:pt>
                <c:pt idx="5">
                  <c:v>0.6953125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0.6640625</c:v>
                </c:pt>
                <c:pt idx="11">
                  <c:v>0.4140625</c:v>
                </c:pt>
                <c:pt idx="12">
                  <c:v>0.984375</c:v>
                </c:pt>
                <c:pt idx="13">
                  <c:v>0.9921875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0.484375</c:v>
                </c:pt>
                <c:pt idx="18">
                  <c:v>1</c:v>
                </c:pt>
                <c:pt idx="19">
                  <c:v>0.5078125</c:v>
                </c:pt>
                <c:pt idx="20">
                  <c:v>0.5234375</c:v>
                </c:pt>
                <c:pt idx="21">
                  <c:v>0.484375</c:v>
                </c:pt>
                <c:pt idx="22">
                  <c:v>0.5234375</c:v>
                </c:pt>
                <c:pt idx="23">
                  <c:v>0.5234375</c:v>
                </c:pt>
                <c:pt idx="24">
                  <c:v>1</c:v>
                </c:pt>
                <c:pt idx="25">
                  <c:v>0.5859375</c:v>
                </c:pt>
                <c:pt idx="26">
                  <c:v>0.5234375</c:v>
                </c:pt>
                <c:pt idx="27">
                  <c:v>0.4140625</c:v>
                </c:pt>
                <c:pt idx="28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'Soc-Dropout_rn'!$A$1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'Soc-Dropout_rn'!$B$1:$AD$1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69</c:v>
                      </c:pt>
                      <c:pt idx="2">
                        <c:v>69</c:v>
                      </c:pt>
                      <c:pt idx="3">
                        <c:v>69</c:v>
                      </c:pt>
                      <c:pt idx="4">
                        <c:v>10</c:v>
                      </c:pt>
                      <c:pt idx="5">
                        <c:v>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20</c:v>
                      </c:pt>
                      <c:pt idx="11">
                        <c:v>29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67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69</c:v>
                      </c:pt>
                      <c:pt idx="21">
                        <c:v>48</c:v>
                      </c:pt>
                      <c:pt idx="22">
                        <c:v>69</c:v>
                      </c:pt>
                      <c:pt idx="23">
                        <c:v>69</c:v>
                      </c:pt>
                      <c:pt idx="24">
                        <c:v>0</c:v>
                      </c:pt>
                      <c:pt idx="25">
                        <c:v>26</c:v>
                      </c:pt>
                      <c:pt idx="26">
                        <c:v>69</c:v>
                      </c:pt>
                      <c:pt idx="27">
                        <c:v>30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72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62</c:v>
                      </c:pt>
                      <c:pt idx="5">
                        <c:v>64</c:v>
                      </c:pt>
                      <c:pt idx="6">
                        <c:v>72</c:v>
                      </c:pt>
                      <c:pt idx="7">
                        <c:v>72</c:v>
                      </c:pt>
                      <c:pt idx="8">
                        <c:v>72</c:v>
                      </c:pt>
                      <c:pt idx="9">
                        <c:v>72</c:v>
                      </c:pt>
                      <c:pt idx="10">
                        <c:v>52</c:v>
                      </c:pt>
                      <c:pt idx="11">
                        <c:v>43</c:v>
                      </c:pt>
                      <c:pt idx="12">
                        <c:v>72</c:v>
                      </c:pt>
                      <c:pt idx="13">
                        <c:v>72</c:v>
                      </c:pt>
                      <c:pt idx="14">
                        <c:v>72</c:v>
                      </c:pt>
                      <c:pt idx="15">
                        <c:v>72</c:v>
                      </c:pt>
                      <c:pt idx="16">
                        <c:v>72</c:v>
                      </c:pt>
                      <c:pt idx="17">
                        <c:v>5</c:v>
                      </c:pt>
                      <c:pt idx="18">
                        <c:v>72</c:v>
                      </c:pt>
                      <c:pt idx="19">
                        <c:v>30</c:v>
                      </c:pt>
                      <c:pt idx="20">
                        <c:v>3</c:v>
                      </c:pt>
                      <c:pt idx="21">
                        <c:v>24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72</c:v>
                      </c:pt>
                      <c:pt idx="25">
                        <c:v>46</c:v>
                      </c:pt>
                      <c:pt idx="26">
                        <c:v>3</c:v>
                      </c:pt>
                      <c:pt idx="27">
                        <c:v>42</c:v>
                      </c:pt>
                      <c:pt idx="28">
                        <c:v>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67</c:v>
                      </c:pt>
                      <c:pt idx="2">
                        <c:v>66</c:v>
                      </c:pt>
                      <c:pt idx="3">
                        <c:v>66</c:v>
                      </c:pt>
                      <c:pt idx="4">
                        <c:v>46</c:v>
                      </c:pt>
                      <c:pt idx="5">
                        <c:v>39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43</c:v>
                      </c:pt>
                      <c:pt idx="11">
                        <c:v>75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66</c:v>
                      </c:pt>
                      <c:pt idx="18">
                        <c:v>0</c:v>
                      </c:pt>
                      <c:pt idx="19">
                        <c:v>63</c:v>
                      </c:pt>
                      <c:pt idx="20">
                        <c:v>61</c:v>
                      </c:pt>
                      <c:pt idx="21">
                        <c:v>66</c:v>
                      </c:pt>
                      <c:pt idx="22">
                        <c:v>61</c:v>
                      </c:pt>
                      <c:pt idx="23">
                        <c:v>61</c:v>
                      </c:pt>
                      <c:pt idx="24">
                        <c:v>0</c:v>
                      </c:pt>
                      <c:pt idx="25">
                        <c:v>53</c:v>
                      </c:pt>
                      <c:pt idx="26">
                        <c:v>61</c:v>
                      </c:pt>
                      <c:pt idx="27">
                        <c:v>75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128</c:v>
                      </c:pt>
                      <c:pt idx="1">
                        <c:v>61</c:v>
                      </c:pt>
                      <c:pt idx="2">
                        <c:v>62</c:v>
                      </c:pt>
                      <c:pt idx="3">
                        <c:v>62</c:v>
                      </c:pt>
                      <c:pt idx="4">
                        <c:v>82</c:v>
                      </c:pt>
                      <c:pt idx="5">
                        <c:v>89</c:v>
                      </c:pt>
                      <c:pt idx="6">
                        <c:v>128</c:v>
                      </c:pt>
                      <c:pt idx="7">
                        <c:v>128</c:v>
                      </c:pt>
                      <c:pt idx="8">
                        <c:v>128</c:v>
                      </c:pt>
                      <c:pt idx="9">
                        <c:v>128</c:v>
                      </c:pt>
                      <c:pt idx="10">
                        <c:v>85</c:v>
                      </c:pt>
                      <c:pt idx="11">
                        <c:v>53</c:v>
                      </c:pt>
                      <c:pt idx="12">
                        <c:v>126</c:v>
                      </c:pt>
                      <c:pt idx="13">
                        <c:v>127</c:v>
                      </c:pt>
                      <c:pt idx="14">
                        <c:v>128</c:v>
                      </c:pt>
                      <c:pt idx="15">
                        <c:v>128</c:v>
                      </c:pt>
                      <c:pt idx="16">
                        <c:v>128</c:v>
                      </c:pt>
                      <c:pt idx="17">
                        <c:v>62</c:v>
                      </c:pt>
                      <c:pt idx="18">
                        <c:v>128</c:v>
                      </c:pt>
                      <c:pt idx="19">
                        <c:v>65</c:v>
                      </c:pt>
                      <c:pt idx="20">
                        <c:v>67</c:v>
                      </c:pt>
                      <c:pt idx="21">
                        <c:v>62</c:v>
                      </c:pt>
                      <c:pt idx="22">
                        <c:v>67</c:v>
                      </c:pt>
                      <c:pt idx="23">
                        <c:v>67</c:v>
                      </c:pt>
                      <c:pt idx="24">
                        <c:v>128</c:v>
                      </c:pt>
                      <c:pt idx="25">
                        <c:v>75</c:v>
                      </c:pt>
                      <c:pt idx="26">
                        <c:v>67</c:v>
                      </c:pt>
                      <c:pt idx="27">
                        <c:v>53</c:v>
                      </c:pt>
                      <c:pt idx="28">
                        <c:v>128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'Soc-Dropout_rn'!$B$8:$AD$8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0.36</c:v>
                      </c:pt>
                      <c:pt idx="1">
                        <c:v>0.35</c:v>
                      </c:pt>
                      <c:pt idx="2">
                        <c:v>0.34499999999999997</c:v>
                      </c:pt>
                      <c:pt idx="3">
                        <c:v>0.34499999999999997</c:v>
                      </c:pt>
                      <c:pt idx="4">
                        <c:v>0.54</c:v>
                      </c:pt>
                      <c:pt idx="5">
                        <c:v>0.51500000000000001</c:v>
                      </c:pt>
                      <c:pt idx="6">
                        <c:v>0.36</c:v>
                      </c:pt>
                      <c:pt idx="7">
                        <c:v>0.36</c:v>
                      </c:pt>
                      <c:pt idx="8">
                        <c:v>0.36</c:v>
                      </c:pt>
                      <c:pt idx="9">
                        <c:v>0.36</c:v>
                      </c:pt>
                      <c:pt idx="10">
                        <c:v>0.47499999999999998</c:v>
                      </c:pt>
                      <c:pt idx="11">
                        <c:v>0.59000000000000008</c:v>
                      </c:pt>
                      <c:pt idx="12">
                        <c:v>0.37</c:v>
                      </c:pt>
                      <c:pt idx="13">
                        <c:v>0.36499999999999999</c:v>
                      </c:pt>
                      <c:pt idx="14">
                        <c:v>0.36</c:v>
                      </c:pt>
                      <c:pt idx="15">
                        <c:v>0.36</c:v>
                      </c:pt>
                      <c:pt idx="16">
                        <c:v>0.36</c:v>
                      </c:pt>
                      <c:pt idx="17">
                        <c:v>0.35499999999999998</c:v>
                      </c:pt>
                      <c:pt idx="18">
                        <c:v>0.36</c:v>
                      </c:pt>
                      <c:pt idx="19">
                        <c:v>0.46499999999999997</c:v>
                      </c:pt>
                      <c:pt idx="20">
                        <c:v>0.31999999999999995</c:v>
                      </c:pt>
                      <c:pt idx="21">
                        <c:v>0.44999999999999996</c:v>
                      </c:pt>
                      <c:pt idx="22">
                        <c:v>0.31999999999999995</c:v>
                      </c:pt>
                      <c:pt idx="23">
                        <c:v>0.31999999999999995</c:v>
                      </c:pt>
                      <c:pt idx="24">
                        <c:v>0.36</c:v>
                      </c:pt>
                      <c:pt idx="25">
                        <c:v>0.495</c:v>
                      </c:pt>
                      <c:pt idx="26">
                        <c:v>0.31999999999999995</c:v>
                      </c:pt>
                      <c:pt idx="27">
                        <c:v>0.58499999999999996</c:v>
                      </c:pt>
                      <c:pt idx="28">
                        <c:v>0.36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"/>
          <c:min val="0.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11</v>
      </c>
      <c r="B2" s="1">
        <v>94</v>
      </c>
      <c r="C2" s="1">
        <v>53</v>
      </c>
      <c r="D2" s="1">
        <v>53</v>
      </c>
      <c r="E2" s="1">
        <v>53</v>
      </c>
      <c r="F2" s="1">
        <v>52</v>
      </c>
      <c r="G2" s="1">
        <v>59</v>
      </c>
      <c r="H2" s="1">
        <v>93</v>
      </c>
      <c r="I2" s="1">
        <v>94</v>
      </c>
      <c r="J2" s="1">
        <v>63</v>
      </c>
      <c r="K2" s="1">
        <v>94</v>
      </c>
      <c r="L2" s="1">
        <v>59</v>
      </c>
      <c r="M2" s="1">
        <v>36</v>
      </c>
      <c r="N2" s="1">
        <v>93</v>
      </c>
      <c r="O2" s="1">
        <v>94</v>
      </c>
      <c r="P2" s="1">
        <v>63</v>
      </c>
      <c r="Q2" s="1">
        <v>94</v>
      </c>
      <c r="R2" s="1">
        <v>94</v>
      </c>
      <c r="S2" s="1">
        <v>53</v>
      </c>
      <c r="T2" s="1">
        <v>94</v>
      </c>
      <c r="U2" s="1">
        <v>51</v>
      </c>
      <c r="V2" s="1">
        <v>59</v>
      </c>
      <c r="W2" s="1">
        <v>52</v>
      </c>
      <c r="X2" s="1">
        <v>59</v>
      </c>
      <c r="Y2" s="1">
        <v>59</v>
      </c>
      <c r="Z2" s="1">
        <v>94</v>
      </c>
      <c r="AA2" s="1">
        <v>58</v>
      </c>
      <c r="AB2" s="1">
        <v>59</v>
      </c>
      <c r="AC2" s="1">
        <v>38</v>
      </c>
      <c r="AD2" s="1">
        <v>64</v>
      </c>
    </row>
    <row r="3" spans="1:30" x14ac:dyDescent="0.25">
      <c r="A3" t="s">
        <v>12</v>
      </c>
      <c r="B3" s="1">
        <v>0</v>
      </c>
      <c r="C3" s="1">
        <v>41</v>
      </c>
      <c r="D3" s="1">
        <v>41</v>
      </c>
      <c r="E3" s="1">
        <v>41</v>
      </c>
      <c r="F3" s="1">
        <v>42</v>
      </c>
      <c r="G3" s="1">
        <v>35</v>
      </c>
      <c r="H3" s="1">
        <v>1</v>
      </c>
      <c r="I3" s="1">
        <v>0</v>
      </c>
      <c r="J3" s="1">
        <v>31</v>
      </c>
      <c r="K3" s="1">
        <v>0</v>
      </c>
      <c r="L3" s="1">
        <v>35</v>
      </c>
      <c r="M3" s="1">
        <v>58</v>
      </c>
      <c r="N3" s="1">
        <v>1</v>
      </c>
      <c r="O3" s="1">
        <v>0</v>
      </c>
      <c r="P3" s="1">
        <v>31</v>
      </c>
      <c r="Q3" s="1">
        <v>0</v>
      </c>
      <c r="R3" s="1">
        <v>0</v>
      </c>
      <c r="S3" s="1">
        <v>41</v>
      </c>
      <c r="T3" s="1">
        <v>0</v>
      </c>
      <c r="U3" s="1">
        <v>43</v>
      </c>
      <c r="V3" s="1">
        <v>35</v>
      </c>
      <c r="W3" s="1">
        <v>42</v>
      </c>
      <c r="X3" s="1">
        <v>35</v>
      </c>
      <c r="Y3" s="1">
        <v>35</v>
      </c>
      <c r="Z3" s="1">
        <v>0</v>
      </c>
      <c r="AA3" s="1">
        <v>36</v>
      </c>
      <c r="AB3" s="1">
        <v>35</v>
      </c>
      <c r="AC3" s="1">
        <v>56</v>
      </c>
      <c r="AD3" s="1">
        <v>30</v>
      </c>
    </row>
    <row r="4" spans="1:30" x14ac:dyDescent="0.25">
      <c r="A4" t="s">
        <v>13</v>
      </c>
      <c r="B4" s="1">
        <v>106</v>
      </c>
      <c r="C4" s="1">
        <v>11</v>
      </c>
      <c r="D4" s="1">
        <v>12</v>
      </c>
      <c r="E4" s="1">
        <v>12</v>
      </c>
      <c r="F4" s="1">
        <v>92</v>
      </c>
      <c r="G4" s="1">
        <v>94</v>
      </c>
      <c r="H4" s="1">
        <v>106</v>
      </c>
      <c r="I4" s="1">
        <v>106</v>
      </c>
      <c r="J4" s="1">
        <v>72</v>
      </c>
      <c r="K4" s="1">
        <v>106</v>
      </c>
      <c r="L4" s="1">
        <v>78</v>
      </c>
      <c r="M4" s="1">
        <v>60</v>
      </c>
      <c r="N4" s="1">
        <v>105</v>
      </c>
      <c r="O4" s="1">
        <v>105</v>
      </c>
      <c r="P4" s="1">
        <v>57</v>
      </c>
      <c r="Q4" s="1">
        <v>106</v>
      </c>
      <c r="R4" s="1">
        <v>106</v>
      </c>
      <c r="S4" s="1">
        <v>11</v>
      </c>
      <c r="T4" s="1">
        <v>106</v>
      </c>
      <c r="U4" s="1">
        <v>40</v>
      </c>
      <c r="V4" s="1">
        <v>11</v>
      </c>
      <c r="W4" s="1">
        <v>34</v>
      </c>
      <c r="X4" s="1">
        <v>11</v>
      </c>
      <c r="Y4" s="1">
        <v>11</v>
      </c>
      <c r="Z4" s="1">
        <v>106</v>
      </c>
      <c r="AA4" s="1">
        <v>63</v>
      </c>
      <c r="AB4" s="1">
        <v>11</v>
      </c>
      <c r="AC4" s="1">
        <v>57</v>
      </c>
      <c r="AD4" s="1">
        <v>46</v>
      </c>
    </row>
    <row r="5" spans="1:30" x14ac:dyDescent="0.25">
      <c r="A5" t="s">
        <v>14</v>
      </c>
      <c r="B5" s="1">
        <f t="shared" ref="B5:G5" si="0">200-B2-B3-B4</f>
        <v>0</v>
      </c>
      <c r="C5" s="1">
        <f t="shared" si="0"/>
        <v>95</v>
      </c>
      <c r="D5" s="1">
        <f t="shared" si="0"/>
        <v>94</v>
      </c>
      <c r="E5" s="1">
        <f t="shared" si="0"/>
        <v>94</v>
      </c>
      <c r="F5" s="1">
        <f t="shared" si="0"/>
        <v>14</v>
      </c>
      <c r="G5" s="1">
        <f t="shared" si="0"/>
        <v>12</v>
      </c>
      <c r="H5" s="1">
        <f>200-H2-H3-H4</f>
        <v>0</v>
      </c>
      <c r="I5" s="1">
        <f t="shared" ref="I5:AD5" si="1">200-I2-I3-I4</f>
        <v>0</v>
      </c>
      <c r="J5" s="1">
        <f t="shared" si="1"/>
        <v>34</v>
      </c>
      <c r="K5" s="1">
        <f t="shared" si="1"/>
        <v>0</v>
      </c>
      <c r="L5" s="1">
        <f t="shared" si="1"/>
        <v>28</v>
      </c>
      <c r="M5" s="1">
        <f t="shared" si="1"/>
        <v>46</v>
      </c>
      <c r="N5" s="1">
        <f t="shared" si="1"/>
        <v>1</v>
      </c>
      <c r="O5" s="1">
        <f t="shared" si="1"/>
        <v>1</v>
      </c>
      <c r="P5" s="1">
        <f t="shared" si="1"/>
        <v>49</v>
      </c>
      <c r="Q5" s="1">
        <f t="shared" si="1"/>
        <v>0</v>
      </c>
      <c r="R5" s="1">
        <f t="shared" si="1"/>
        <v>0</v>
      </c>
      <c r="S5" s="1">
        <f t="shared" si="1"/>
        <v>95</v>
      </c>
      <c r="T5" s="1">
        <f>200-T2-T3-T4</f>
        <v>0</v>
      </c>
      <c r="U5" s="1">
        <f t="shared" si="1"/>
        <v>66</v>
      </c>
      <c r="V5" s="1">
        <f t="shared" si="1"/>
        <v>95</v>
      </c>
      <c r="W5" s="1">
        <f t="shared" si="1"/>
        <v>72</v>
      </c>
      <c r="X5" s="1">
        <f t="shared" si="1"/>
        <v>95</v>
      </c>
      <c r="Y5" s="1">
        <f t="shared" si="1"/>
        <v>95</v>
      </c>
      <c r="Z5" s="1">
        <f t="shared" si="1"/>
        <v>0</v>
      </c>
      <c r="AA5" s="1">
        <f>200-AA2-AA3-AA4</f>
        <v>43</v>
      </c>
      <c r="AB5" s="1">
        <f t="shared" si="1"/>
        <v>95</v>
      </c>
      <c r="AC5" s="1">
        <f>200-AC2-AC3-AC4</f>
        <v>49</v>
      </c>
      <c r="AD5" s="1">
        <f t="shared" si="1"/>
        <v>60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0.47</v>
      </c>
      <c r="C7" s="1">
        <f t="shared" ref="C7:AD7" si="3">(C5+C2)/C6</f>
        <v>0.74</v>
      </c>
      <c r="D7" s="1">
        <f t="shared" si="3"/>
        <v>0.73499999999999999</v>
      </c>
      <c r="E7" s="1">
        <f t="shared" si="3"/>
        <v>0.73499999999999999</v>
      </c>
      <c r="F7" s="1">
        <f t="shared" si="3"/>
        <v>0.33</v>
      </c>
      <c r="G7" s="1">
        <f t="shared" si="3"/>
        <v>0.35499999999999998</v>
      </c>
      <c r="H7" s="1">
        <f t="shared" si="3"/>
        <v>0.46500000000000002</v>
      </c>
      <c r="I7" s="1">
        <f t="shared" si="3"/>
        <v>0.47</v>
      </c>
      <c r="J7" s="1">
        <f t="shared" si="3"/>
        <v>0.48499999999999999</v>
      </c>
      <c r="K7" s="6">
        <f t="shared" si="3"/>
        <v>0.47</v>
      </c>
      <c r="L7" s="1">
        <f t="shared" si="3"/>
        <v>0.435</v>
      </c>
      <c r="M7" s="3">
        <f t="shared" si="3"/>
        <v>0.41</v>
      </c>
      <c r="N7" s="1">
        <f t="shared" si="3"/>
        <v>0.47</v>
      </c>
      <c r="O7" s="1">
        <f t="shared" si="3"/>
        <v>0.47499999999999998</v>
      </c>
      <c r="P7" s="1">
        <f t="shared" si="3"/>
        <v>0.56000000000000005</v>
      </c>
      <c r="Q7" s="1">
        <f t="shared" si="3"/>
        <v>0.47</v>
      </c>
      <c r="R7" s="1">
        <f t="shared" si="3"/>
        <v>0.47</v>
      </c>
      <c r="S7" s="1">
        <f t="shared" si="3"/>
        <v>0.74</v>
      </c>
      <c r="T7" s="1">
        <f t="shared" si="3"/>
        <v>0.47</v>
      </c>
      <c r="U7" s="1">
        <f t="shared" si="3"/>
        <v>0.58499999999999996</v>
      </c>
      <c r="V7" s="1">
        <f t="shared" si="3"/>
        <v>0.77</v>
      </c>
      <c r="W7" s="1">
        <f t="shared" si="3"/>
        <v>0.62</v>
      </c>
      <c r="X7" s="1">
        <f t="shared" si="3"/>
        <v>0.77</v>
      </c>
      <c r="Y7" s="1">
        <f t="shared" si="3"/>
        <v>0.77</v>
      </c>
      <c r="Z7" s="1">
        <f t="shared" si="3"/>
        <v>0.47</v>
      </c>
      <c r="AA7" s="1">
        <f t="shared" si="3"/>
        <v>0.505</v>
      </c>
      <c r="AB7" s="1">
        <f t="shared" si="3"/>
        <v>0.77</v>
      </c>
      <c r="AC7" s="1">
        <f t="shared" si="3"/>
        <v>0.435</v>
      </c>
      <c r="AD7" s="3">
        <f t="shared" si="3"/>
        <v>0.62</v>
      </c>
    </row>
    <row r="8" spans="1:30" x14ac:dyDescent="0.25">
      <c r="A8" t="s">
        <v>1</v>
      </c>
      <c r="B8" s="1">
        <f>1-B7</f>
        <v>0.53</v>
      </c>
      <c r="C8" s="1">
        <f t="shared" ref="C8:AD8" si="4">1-C7</f>
        <v>0.26</v>
      </c>
      <c r="D8" s="1">
        <f t="shared" si="4"/>
        <v>0.26500000000000001</v>
      </c>
      <c r="E8" s="1">
        <f t="shared" si="4"/>
        <v>0.26500000000000001</v>
      </c>
      <c r="F8" s="1">
        <f t="shared" si="4"/>
        <v>0.66999999999999993</v>
      </c>
      <c r="G8" s="1">
        <f t="shared" si="4"/>
        <v>0.64500000000000002</v>
      </c>
      <c r="H8" s="1">
        <f t="shared" si="4"/>
        <v>0.53499999999999992</v>
      </c>
      <c r="I8" s="1">
        <f t="shared" si="4"/>
        <v>0.53</v>
      </c>
      <c r="J8" s="1">
        <f t="shared" si="4"/>
        <v>0.51500000000000001</v>
      </c>
      <c r="K8" s="6">
        <f t="shared" si="4"/>
        <v>0.53</v>
      </c>
      <c r="L8" s="1">
        <f t="shared" si="4"/>
        <v>0.56499999999999995</v>
      </c>
      <c r="M8" s="3">
        <f t="shared" si="4"/>
        <v>0.59000000000000008</v>
      </c>
      <c r="N8" s="1">
        <f t="shared" si="4"/>
        <v>0.53</v>
      </c>
      <c r="O8" s="1">
        <f t="shared" si="4"/>
        <v>0.52500000000000002</v>
      </c>
      <c r="P8" s="1">
        <f t="shared" si="4"/>
        <v>0.43999999999999995</v>
      </c>
      <c r="Q8" s="1">
        <f t="shared" si="4"/>
        <v>0.53</v>
      </c>
      <c r="R8" s="1">
        <f t="shared" si="4"/>
        <v>0.53</v>
      </c>
      <c r="S8" s="1">
        <f t="shared" si="4"/>
        <v>0.26</v>
      </c>
      <c r="T8" s="1">
        <f t="shared" si="4"/>
        <v>0.53</v>
      </c>
      <c r="U8" s="1">
        <f t="shared" si="4"/>
        <v>0.41500000000000004</v>
      </c>
      <c r="V8" s="1">
        <f t="shared" si="4"/>
        <v>0.22999999999999998</v>
      </c>
      <c r="W8" s="1">
        <f t="shared" si="4"/>
        <v>0.38</v>
      </c>
      <c r="X8" s="1">
        <f t="shared" si="4"/>
        <v>0.22999999999999998</v>
      </c>
      <c r="Y8" s="1">
        <f t="shared" si="4"/>
        <v>0.22999999999999998</v>
      </c>
      <c r="Z8" s="1">
        <f t="shared" si="4"/>
        <v>0.53</v>
      </c>
      <c r="AA8" s="1">
        <f t="shared" si="4"/>
        <v>0.495</v>
      </c>
      <c r="AB8" s="1">
        <f t="shared" si="4"/>
        <v>0.22999999999999998</v>
      </c>
      <c r="AC8" s="1">
        <f t="shared" si="4"/>
        <v>0.56499999999999995</v>
      </c>
      <c r="AD8" s="3">
        <f t="shared" si="4"/>
        <v>0.38</v>
      </c>
    </row>
    <row r="9" spans="1:30" x14ac:dyDescent="0.25">
      <c r="A9" t="s">
        <v>26</v>
      </c>
      <c r="B9" s="1">
        <f>B2/(B2+B3)</f>
        <v>1</v>
      </c>
      <c r="C9" s="1">
        <f t="shared" ref="C9:AD9" si="5">C2/(C2+C3)</f>
        <v>0.56382978723404253</v>
      </c>
      <c r="D9" s="1">
        <f t="shared" si="5"/>
        <v>0.56382978723404253</v>
      </c>
      <c r="E9" s="1">
        <f t="shared" si="5"/>
        <v>0.56382978723404253</v>
      </c>
      <c r="F9" s="1">
        <f t="shared" si="5"/>
        <v>0.55319148936170215</v>
      </c>
      <c r="G9" s="1">
        <f t="shared" si="5"/>
        <v>0.62765957446808507</v>
      </c>
      <c r="H9" s="1">
        <f t="shared" si="5"/>
        <v>0.98936170212765961</v>
      </c>
      <c r="I9" s="1">
        <f t="shared" si="5"/>
        <v>1</v>
      </c>
      <c r="J9" s="1">
        <f t="shared" si="5"/>
        <v>0.67021276595744683</v>
      </c>
      <c r="K9" s="6">
        <f t="shared" si="5"/>
        <v>1</v>
      </c>
      <c r="L9" s="1">
        <f t="shared" si="5"/>
        <v>0.62765957446808507</v>
      </c>
      <c r="M9" s="3">
        <f t="shared" si="5"/>
        <v>0.38297872340425532</v>
      </c>
      <c r="N9" s="1">
        <f t="shared" si="5"/>
        <v>0.98936170212765961</v>
      </c>
      <c r="O9" s="1">
        <f t="shared" si="5"/>
        <v>1</v>
      </c>
      <c r="P9" s="1">
        <f t="shared" si="5"/>
        <v>0.67021276595744683</v>
      </c>
      <c r="Q9" s="1">
        <f t="shared" si="5"/>
        <v>1</v>
      </c>
      <c r="R9" s="1">
        <f t="shared" si="5"/>
        <v>1</v>
      </c>
      <c r="S9" s="1">
        <f t="shared" si="5"/>
        <v>0.56382978723404253</v>
      </c>
      <c r="T9" s="1">
        <f t="shared" si="5"/>
        <v>1</v>
      </c>
      <c r="U9" s="1">
        <f t="shared" si="5"/>
        <v>0.54255319148936165</v>
      </c>
      <c r="V9" s="1">
        <f t="shared" si="5"/>
        <v>0.62765957446808507</v>
      </c>
      <c r="W9" s="1">
        <f t="shared" si="5"/>
        <v>0.55319148936170215</v>
      </c>
      <c r="X9" s="1">
        <f t="shared" si="5"/>
        <v>0.62765957446808507</v>
      </c>
      <c r="Y9" s="1">
        <f t="shared" si="5"/>
        <v>0.62765957446808507</v>
      </c>
      <c r="Z9" s="1">
        <f t="shared" si="5"/>
        <v>1</v>
      </c>
      <c r="AA9" s="1">
        <f t="shared" si="5"/>
        <v>0.61702127659574468</v>
      </c>
      <c r="AB9" s="1">
        <f t="shared" si="5"/>
        <v>0.62765957446808507</v>
      </c>
      <c r="AC9" s="1">
        <f t="shared" si="5"/>
        <v>0.40425531914893614</v>
      </c>
      <c r="AD9" s="3">
        <f t="shared" si="5"/>
        <v>0.68085106382978722</v>
      </c>
    </row>
    <row r="10" spans="1:30" x14ac:dyDescent="0.25">
      <c r="A10" t="s">
        <v>25</v>
      </c>
      <c r="B10" s="1">
        <f>B2/(B2+B4)</f>
        <v>0.47</v>
      </c>
      <c r="C10" s="1">
        <f t="shared" ref="C10:AD10" si="6">C2/(C2+C4)</f>
        <v>0.828125</v>
      </c>
      <c r="D10" s="1">
        <f t="shared" si="6"/>
        <v>0.81538461538461537</v>
      </c>
      <c r="E10" s="1">
        <f t="shared" si="6"/>
        <v>0.81538461538461537</v>
      </c>
      <c r="F10" s="1">
        <f t="shared" si="6"/>
        <v>0.3611111111111111</v>
      </c>
      <c r="G10" s="1">
        <f t="shared" si="6"/>
        <v>0.38562091503267976</v>
      </c>
      <c r="H10" s="1">
        <f t="shared" si="6"/>
        <v>0.46733668341708545</v>
      </c>
      <c r="I10" s="1">
        <f t="shared" si="6"/>
        <v>0.47</v>
      </c>
      <c r="J10" s="1">
        <f t="shared" si="6"/>
        <v>0.46666666666666667</v>
      </c>
      <c r="K10" s="6">
        <f t="shared" si="6"/>
        <v>0.47</v>
      </c>
      <c r="L10" s="1">
        <f t="shared" si="6"/>
        <v>0.43065693430656932</v>
      </c>
      <c r="M10" s="3">
        <f t="shared" si="6"/>
        <v>0.375</v>
      </c>
      <c r="N10" s="1">
        <f t="shared" si="6"/>
        <v>0.46969696969696972</v>
      </c>
      <c r="O10" s="1">
        <f t="shared" si="6"/>
        <v>0.47236180904522612</v>
      </c>
      <c r="P10" s="1">
        <f t="shared" si="6"/>
        <v>0.52500000000000002</v>
      </c>
      <c r="Q10" s="1">
        <f t="shared" si="6"/>
        <v>0.47</v>
      </c>
      <c r="R10" s="1">
        <f t="shared" si="6"/>
        <v>0.47</v>
      </c>
      <c r="S10" s="1">
        <f t="shared" si="6"/>
        <v>0.828125</v>
      </c>
      <c r="T10" s="1">
        <f t="shared" si="6"/>
        <v>0.47</v>
      </c>
      <c r="U10" s="1">
        <f t="shared" si="6"/>
        <v>0.56043956043956045</v>
      </c>
      <c r="V10" s="1">
        <f t="shared" si="6"/>
        <v>0.84285714285714286</v>
      </c>
      <c r="W10" s="1">
        <f t="shared" si="6"/>
        <v>0.60465116279069764</v>
      </c>
      <c r="X10" s="1">
        <f t="shared" si="6"/>
        <v>0.84285714285714286</v>
      </c>
      <c r="Y10" s="1">
        <f t="shared" si="6"/>
        <v>0.84285714285714286</v>
      </c>
      <c r="Z10" s="1">
        <f t="shared" si="6"/>
        <v>0.47</v>
      </c>
      <c r="AA10" s="1">
        <f t="shared" si="6"/>
        <v>0.47933884297520662</v>
      </c>
      <c r="AB10" s="1">
        <f t="shared" si="6"/>
        <v>0.84285714285714286</v>
      </c>
      <c r="AC10" s="1">
        <f t="shared" si="6"/>
        <v>0.4</v>
      </c>
      <c r="AD10" s="3">
        <f t="shared" si="6"/>
        <v>0.58181818181818179</v>
      </c>
    </row>
    <row r="11" spans="1:30" x14ac:dyDescent="0.25">
      <c r="A11" t="s">
        <v>15</v>
      </c>
      <c r="B11" s="1">
        <f>2*B9*B10/(B9+B10)</f>
        <v>0.6394557823129251</v>
      </c>
      <c r="C11" s="1">
        <f t="shared" ref="C11:AD11" si="7">2*C9*C10/(C9+C10)</f>
        <v>0.670886075949367</v>
      </c>
      <c r="D11" s="1">
        <f t="shared" si="7"/>
        <v>0.66666666666666663</v>
      </c>
      <c r="E11" s="1">
        <f t="shared" si="7"/>
        <v>0.66666666666666663</v>
      </c>
      <c r="F11" s="1">
        <f t="shared" si="7"/>
        <v>0.43697478991596644</v>
      </c>
      <c r="G11" s="1">
        <f t="shared" si="7"/>
        <v>0.47773279352226722</v>
      </c>
      <c r="H11" s="1">
        <f t="shared" si="7"/>
        <v>0.6348122866894198</v>
      </c>
      <c r="I11" s="1">
        <f t="shared" si="7"/>
        <v>0.6394557823129251</v>
      </c>
      <c r="J11" s="1">
        <f t="shared" si="7"/>
        <v>0.55021834061135377</v>
      </c>
      <c r="K11" s="6">
        <f t="shared" si="7"/>
        <v>0.6394557823129251</v>
      </c>
      <c r="L11" s="1">
        <f t="shared" si="7"/>
        <v>0.51082251082251084</v>
      </c>
      <c r="M11" s="3">
        <f t="shared" si="7"/>
        <v>0.37894736842105264</v>
      </c>
      <c r="N11" s="1">
        <f t="shared" si="7"/>
        <v>0.63698630136986301</v>
      </c>
      <c r="O11" s="1">
        <f t="shared" si="7"/>
        <v>0.64163822525597269</v>
      </c>
      <c r="P11" s="1">
        <f t="shared" si="7"/>
        <v>0.58878504672897192</v>
      </c>
      <c r="Q11" s="1">
        <f t="shared" si="7"/>
        <v>0.6394557823129251</v>
      </c>
      <c r="R11" s="1">
        <f t="shared" si="7"/>
        <v>0.6394557823129251</v>
      </c>
      <c r="S11" s="1">
        <f t="shared" si="7"/>
        <v>0.670886075949367</v>
      </c>
      <c r="T11" s="1">
        <f t="shared" si="7"/>
        <v>0.6394557823129251</v>
      </c>
      <c r="U11" s="1">
        <f t="shared" si="7"/>
        <v>0.55135135135135127</v>
      </c>
      <c r="V11" s="1">
        <f t="shared" si="7"/>
        <v>0.71951219512195119</v>
      </c>
      <c r="W11" s="1">
        <f t="shared" si="7"/>
        <v>0.57777777777777783</v>
      </c>
      <c r="X11" s="1">
        <f t="shared" si="7"/>
        <v>0.71951219512195119</v>
      </c>
      <c r="Y11" s="1">
        <f t="shared" si="7"/>
        <v>0.71951219512195119</v>
      </c>
      <c r="Z11" s="1">
        <f t="shared" si="7"/>
        <v>0.6394557823129251</v>
      </c>
      <c r="AA11" s="1">
        <f t="shared" si="7"/>
        <v>0.53953488372093017</v>
      </c>
      <c r="AB11" s="1">
        <f t="shared" si="7"/>
        <v>0.71951219512195119</v>
      </c>
      <c r="AC11" s="1">
        <f t="shared" si="7"/>
        <v>0.40211640211640215</v>
      </c>
      <c r="AD11" s="3">
        <f t="shared" si="7"/>
        <v>0.62745098039215697</v>
      </c>
    </row>
    <row r="12" spans="1:30" x14ac:dyDescent="0.25">
      <c r="A12" t="s">
        <v>16</v>
      </c>
      <c r="B12" s="1">
        <f>B5/(B4+B5)</f>
        <v>0</v>
      </c>
      <c r="C12" s="1">
        <f t="shared" ref="C12:AD12" si="8">C5/(C4+C5)</f>
        <v>0.89622641509433965</v>
      </c>
      <c r="D12" s="1">
        <f t="shared" si="8"/>
        <v>0.8867924528301887</v>
      </c>
      <c r="E12" s="1">
        <f t="shared" si="8"/>
        <v>0.8867924528301887</v>
      </c>
      <c r="F12" s="1">
        <f t="shared" si="8"/>
        <v>0.13207547169811321</v>
      </c>
      <c r="G12" s="1">
        <f t="shared" si="8"/>
        <v>0.11320754716981132</v>
      </c>
      <c r="H12" s="1">
        <f t="shared" si="8"/>
        <v>0</v>
      </c>
      <c r="I12" s="1">
        <f t="shared" si="8"/>
        <v>0</v>
      </c>
      <c r="J12" s="1">
        <f t="shared" si="8"/>
        <v>0.32075471698113206</v>
      </c>
      <c r="K12" s="6">
        <f t="shared" si="8"/>
        <v>0</v>
      </c>
      <c r="L12" s="1">
        <f t="shared" si="8"/>
        <v>0.26415094339622641</v>
      </c>
      <c r="M12" s="3">
        <f t="shared" si="8"/>
        <v>0.43396226415094341</v>
      </c>
      <c r="N12" s="1">
        <f t="shared" si="8"/>
        <v>9.433962264150943E-3</v>
      </c>
      <c r="O12" s="1">
        <f t="shared" si="8"/>
        <v>9.433962264150943E-3</v>
      </c>
      <c r="P12" s="1">
        <f t="shared" si="8"/>
        <v>0.46226415094339623</v>
      </c>
      <c r="Q12" s="1">
        <f t="shared" si="8"/>
        <v>0</v>
      </c>
      <c r="R12" s="1">
        <f t="shared" si="8"/>
        <v>0</v>
      </c>
      <c r="S12" s="1">
        <f t="shared" si="8"/>
        <v>0.89622641509433965</v>
      </c>
      <c r="T12" s="1">
        <f t="shared" si="8"/>
        <v>0</v>
      </c>
      <c r="U12" s="1">
        <f t="shared" si="8"/>
        <v>0.62264150943396224</v>
      </c>
      <c r="V12" s="1">
        <f t="shared" si="8"/>
        <v>0.89622641509433965</v>
      </c>
      <c r="W12" s="1">
        <f t="shared" si="8"/>
        <v>0.67924528301886788</v>
      </c>
      <c r="X12" s="1">
        <f t="shared" si="8"/>
        <v>0.89622641509433965</v>
      </c>
      <c r="Y12" s="1">
        <f t="shared" si="8"/>
        <v>0.89622641509433965</v>
      </c>
      <c r="Z12" s="1">
        <f t="shared" si="8"/>
        <v>0</v>
      </c>
      <c r="AA12" s="1">
        <f t="shared" si="8"/>
        <v>0.40566037735849059</v>
      </c>
      <c r="AB12" s="1">
        <f t="shared" si="8"/>
        <v>0.89622641509433965</v>
      </c>
      <c r="AC12" s="1">
        <f t="shared" si="8"/>
        <v>0.46226415094339623</v>
      </c>
      <c r="AD12" s="3">
        <f t="shared" si="8"/>
        <v>0.56603773584905659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6">
        <v>0.9</v>
      </c>
      <c r="L13" s="1">
        <v>0.9</v>
      </c>
      <c r="M13" s="3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13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19</v>
      </c>
      <c r="Q2" s="1">
        <v>0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21</v>
      </c>
    </row>
    <row r="3" spans="1:30" x14ac:dyDescent="0.25">
      <c r="A3" t="s">
        <v>23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21</v>
      </c>
      <c r="K3" s="1">
        <v>34</v>
      </c>
      <c r="L3" s="1">
        <v>34</v>
      </c>
      <c r="M3" s="1">
        <v>34</v>
      </c>
      <c r="N3" s="1">
        <v>34</v>
      </c>
      <c r="O3" s="1">
        <v>34</v>
      </c>
      <c r="P3" s="1">
        <v>15</v>
      </c>
      <c r="Q3" s="1">
        <v>34</v>
      </c>
      <c r="R3" s="1">
        <v>34</v>
      </c>
      <c r="S3" s="1">
        <v>33</v>
      </c>
      <c r="T3" s="1">
        <v>34</v>
      </c>
      <c r="U3" s="1">
        <v>33</v>
      </c>
      <c r="V3" s="1">
        <v>34</v>
      </c>
      <c r="W3" s="1">
        <v>34</v>
      </c>
      <c r="X3" s="1">
        <v>34</v>
      </c>
      <c r="Y3" s="1">
        <v>34</v>
      </c>
      <c r="Z3" s="1">
        <v>34</v>
      </c>
      <c r="AA3" s="1">
        <v>34</v>
      </c>
      <c r="AB3" s="1">
        <v>34</v>
      </c>
      <c r="AC3" s="1">
        <v>34</v>
      </c>
      <c r="AD3" s="1">
        <v>13</v>
      </c>
    </row>
    <row r="4" spans="1:30" x14ac:dyDescent="0.25">
      <c r="A4" t="s">
        <v>24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52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61</v>
      </c>
      <c r="Q4" s="1">
        <v>0</v>
      </c>
      <c r="R4" s="1">
        <v>0</v>
      </c>
      <c r="S4" s="1">
        <v>2</v>
      </c>
      <c r="T4" s="1">
        <v>0</v>
      </c>
      <c r="U4" s="1">
        <v>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69</v>
      </c>
    </row>
    <row r="5" spans="1:30" x14ac:dyDescent="0.25">
      <c r="A5" t="s">
        <v>14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165</v>
      </c>
      <c r="I5" s="1">
        <f t="shared" ref="I5:AD5" si="1">200-I2-I3-I4</f>
        <v>166</v>
      </c>
      <c r="J5" s="1">
        <f t="shared" si="1"/>
        <v>114</v>
      </c>
      <c r="K5" s="1">
        <f t="shared" si="1"/>
        <v>166</v>
      </c>
      <c r="L5" s="1">
        <f t="shared" si="1"/>
        <v>166</v>
      </c>
      <c r="M5" s="1">
        <f t="shared" si="1"/>
        <v>166</v>
      </c>
      <c r="N5" s="1">
        <f t="shared" si="1"/>
        <v>166</v>
      </c>
      <c r="O5" s="1">
        <f t="shared" si="1"/>
        <v>166</v>
      </c>
      <c r="P5" s="1">
        <f t="shared" si="1"/>
        <v>105</v>
      </c>
      <c r="Q5" s="1">
        <f t="shared" si="1"/>
        <v>166</v>
      </c>
      <c r="R5" s="1">
        <f t="shared" si="1"/>
        <v>166</v>
      </c>
      <c r="S5" s="1">
        <f t="shared" si="1"/>
        <v>164</v>
      </c>
      <c r="T5" s="1">
        <f>200-T2-T3-T4</f>
        <v>166</v>
      </c>
      <c r="U5" s="1">
        <f t="shared" si="1"/>
        <v>163</v>
      </c>
      <c r="V5" s="1">
        <f t="shared" si="1"/>
        <v>166</v>
      </c>
      <c r="W5" s="1">
        <f t="shared" si="1"/>
        <v>166</v>
      </c>
      <c r="X5" s="1">
        <f t="shared" si="1"/>
        <v>166</v>
      </c>
      <c r="Y5" s="1">
        <f t="shared" si="1"/>
        <v>166</v>
      </c>
      <c r="Z5" s="1">
        <f t="shared" si="1"/>
        <v>166</v>
      </c>
      <c r="AA5" s="1">
        <f>200-AA2-AA3-AA4</f>
        <v>166</v>
      </c>
      <c r="AB5" s="1">
        <f t="shared" si="1"/>
        <v>166</v>
      </c>
      <c r="AC5" s="1">
        <f t="shared" si="1"/>
        <v>166</v>
      </c>
      <c r="AD5" s="1">
        <f t="shared" si="1"/>
        <v>97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0.82499999999999996</v>
      </c>
      <c r="I7" s="1">
        <f t="shared" si="3"/>
        <v>0.83</v>
      </c>
      <c r="J7" s="1">
        <f t="shared" si="3"/>
        <v>0.63500000000000001</v>
      </c>
      <c r="K7" s="1">
        <f t="shared" si="3"/>
        <v>0.83</v>
      </c>
      <c r="L7" s="1">
        <f t="shared" si="3"/>
        <v>0.83</v>
      </c>
      <c r="M7" s="1">
        <f t="shared" si="3"/>
        <v>0.83</v>
      </c>
      <c r="N7" s="1">
        <f t="shared" si="3"/>
        <v>0.83</v>
      </c>
      <c r="O7" s="1">
        <f t="shared" si="3"/>
        <v>0.83</v>
      </c>
      <c r="P7" s="1">
        <f t="shared" si="3"/>
        <v>0.62</v>
      </c>
      <c r="Q7" s="1">
        <f t="shared" si="3"/>
        <v>0.83</v>
      </c>
      <c r="R7" s="1">
        <f t="shared" si="3"/>
        <v>0.83</v>
      </c>
      <c r="S7" s="1">
        <f t="shared" si="3"/>
        <v>0.82499999999999996</v>
      </c>
      <c r="T7" s="5">
        <f t="shared" si="3"/>
        <v>0.83</v>
      </c>
      <c r="U7" s="1">
        <f t="shared" si="3"/>
        <v>0.82</v>
      </c>
      <c r="V7" s="1">
        <f t="shared" si="3"/>
        <v>0.83</v>
      </c>
      <c r="W7" s="1">
        <f t="shared" si="3"/>
        <v>0.83</v>
      </c>
      <c r="X7" s="1">
        <f t="shared" si="3"/>
        <v>0.83</v>
      </c>
      <c r="Y7" s="1">
        <f t="shared" si="3"/>
        <v>0.83</v>
      </c>
      <c r="Z7" s="1">
        <f t="shared" si="3"/>
        <v>0.83</v>
      </c>
      <c r="AA7" s="1">
        <f t="shared" si="3"/>
        <v>0.83</v>
      </c>
      <c r="AB7" s="1">
        <f t="shared" si="3"/>
        <v>0.83</v>
      </c>
      <c r="AC7" s="1">
        <f t="shared" si="3"/>
        <v>0.83</v>
      </c>
      <c r="AD7" s="5">
        <f t="shared" si="3"/>
        <v>0.59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0.17500000000000004</v>
      </c>
      <c r="I8" s="1">
        <f t="shared" si="4"/>
        <v>0.17000000000000004</v>
      </c>
      <c r="J8" s="1">
        <f t="shared" si="4"/>
        <v>0.36499999999999999</v>
      </c>
      <c r="K8" s="1">
        <f t="shared" si="4"/>
        <v>0.17000000000000004</v>
      </c>
      <c r="L8" s="1">
        <f t="shared" si="4"/>
        <v>0.17000000000000004</v>
      </c>
      <c r="M8" s="1">
        <f t="shared" si="4"/>
        <v>0.17000000000000004</v>
      </c>
      <c r="N8" s="1">
        <f t="shared" si="4"/>
        <v>0.17000000000000004</v>
      </c>
      <c r="O8" s="1">
        <f t="shared" si="4"/>
        <v>0.17000000000000004</v>
      </c>
      <c r="P8" s="1">
        <f t="shared" si="4"/>
        <v>0.38</v>
      </c>
      <c r="Q8" s="1">
        <f t="shared" si="4"/>
        <v>0.17000000000000004</v>
      </c>
      <c r="R8" s="1">
        <f t="shared" si="4"/>
        <v>0.17000000000000004</v>
      </c>
      <c r="S8" s="1">
        <f t="shared" si="4"/>
        <v>0.17500000000000004</v>
      </c>
      <c r="T8" s="5">
        <f t="shared" si="4"/>
        <v>0.17000000000000004</v>
      </c>
      <c r="U8" s="1">
        <f t="shared" si="4"/>
        <v>0.18000000000000005</v>
      </c>
      <c r="V8" s="1">
        <f t="shared" si="4"/>
        <v>0.17000000000000004</v>
      </c>
      <c r="W8" s="1">
        <f t="shared" si="4"/>
        <v>0.17000000000000004</v>
      </c>
      <c r="X8" s="1">
        <f t="shared" si="4"/>
        <v>0.17000000000000004</v>
      </c>
      <c r="Y8" s="1">
        <f t="shared" si="4"/>
        <v>0.17000000000000004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0.17000000000000004</v>
      </c>
      <c r="AC8" s="1">
        <f t="shared" si="4"/>
        <v>0.17000000000000004</v>
      </c>
      <c r="AD8" s="5">
        <f t="shared" si="4"/>
        <v>0.41000000000000003</v>
      </c>
    </row>
    <row r="9" spans="1:30" x14ac:dyDescent="0.25">
      <c r="A9" t="s">
        <v>2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0.38235294117647056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si="5"/>
        <v>0</v>
      </c>
      <c r="O9" s="1">
        <f t="shared" si="5"/>
        <v>0</v>
      </c>
      <c r="P9" s="1">
        <f t="shared" si="5"/>
        <v>0.55882352941176472</v>
      </c>
      <c r="Q9" s="1">
        <f t="shared" si="5"/>
        <v>0</v>
      </c>
      <c r="R9" s="1">
        <f t="shared" si="5"/>
        <v>0</v>
      </c>
      <c r="S9" s="1">
        <f t="shared" si="5"/>
        <v>2.9411764705882353E-2</v>
      </c>
      <c r="T9" s="5">
        <f t="shared" si="5"/>
        <v>0</v>
      </c>
      <c r="U9" s="1">
        <f t="shared" si="5"/>
        <v>2.9411764705882353E-2</v>
      </c>
      <c r="V9" s="1">
        <f t="shared" si="5"/>
        <v>0</v>
      </c>
      <c r="W9" s="1">
        <f t="shared" si="5"/>
        <v>0</v>
      </c>
      <c r="X9" s="1">
        <f t="shared" si="5"/>
        <v>0</v>
      </c>
      <c r="Y9" s="1">
        <f t="shared" si="5"/>
        <v>0</v>
      </c>
      <c r="Z9" s="1">
        <f t="shared" si="5"/>
        <v>0</v>
      </c>
      <c r="AA9" s="1">
        <f t="shared" si="5"/>
        <v>0</v>
      </c>
      <c r="AB9" s="1">
        <f t="shared" si="5"/>
        <v>0</v>
      </c>
      <c r="AC9" s="1">
        <f t="shared" si="5"/>
        <v>0</v>
      </c>
      <c r="AD9" s="5">
        <f t="shared" si="5"/>
        <v>0.61764705882352944</v>
      </c>
    </row>
    <row r="10" spans="1:30" x14ac:dyDescent="0.25">
      <c r="A10" t="s">
        <v>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>
        <f t="shared" si="6"/>
        <v>0</v>
      </c>
      <c r="I10" s="1" t="e">
        <f t="shared" si="6"/>
        <v>#DIV/0!</v>
      </c>
      <c r="J10" s="1">
        <f t="shared" si="6"/>
        <v>0.2</v>
      </c>
      <c r="K10" s="1" t="e">
        <f t="shared" si="6"/>
        <v>#DIV/0!</v>
      </c>
      <c r="L10" s="1" t="e">
        <f t="shared" si="6"/>
        <v>#DIV/0!</v>
      </c>
      <c r="M10" s="1" t="e">
        <f t="shared" si="6"/>
        <v>#DIV/0!</v>
      </c>
      <c r="N10" s="1" t="e">
        <f t="shared" si="6"/>
        <v>#DIV/0!</v>
      </c>
      <c r="O10" s="1" t="e">
        <f t="shared" si="6"/>
        <v>#DIV/0!</v>
      </c>
      <c r="P10" s="1">
        <f t="shared" si="6"/>
        <v>0.23749999999999999</v>
      </c>
      <c r="Q10" s="1" t="e">
        <f t="shared" si="6"/>
        <v>#DIV/0!</v>
      </c>
      <c r="R10" s="1" t="e">
        <f t="shared" si="6"/>
        <v>#DIV/0!</v>
      </c>
      <c r="S10" s="1">
        <f t="shared" si="6"/>
        <v>0.33333333333333331</v>
      </c>
      <c r="T10" s="5" t="e">
        <f t="shared" si="6"/>
        <v>#DIV/0!</v>
      </c>
      <c r="U10" s="1">
        <f t="shared" si="6"/>
        <v>0.25</v>
      </c>
      <c r="V10" s="1" t="e">
        <f t="shared" si="6"/>
        <v>#DIV/0!</v>
      </c>
      <c r="W10" s="1" t="e">
        <f t="shared" si="6"/>
        <v>#DIV/0!</v>
      </c>
      <c r="X10" s="1" t="e">
        <f t="shared" si="6"/>
        <v>#DIV/0!</v>
      </c>
      <c r="Y10" s="1" t="e">
        <f t="shared" si="6"/>
        <v>#DIV/0!</v>
      </c>
      <c r="Z10" s="1" t="e">
        <f t="shared" si="6"/>
        <v>#DIV/0!</v>
      </c>
      <c r="AA10" s="1" t="e">
        <f t="shared" si="6"/>
        <v>#DIV/0!</v>
      </c>
      <c r="AB10" s="1" t="e">
        <f t="shared" si="6"/>
        <v>#DIV/0!</v>
      </c>
      <c r="AC10" s="1" t="e">
        <f t="shared" si="6"/>
        <v>#DIV/0!</v>
      </c>
      <c r="AD10" s="5">
        <f t="shared" si="6"/>
        <v>0.23333333333333334</v>
      </c>
    </row>
    <row r="11" spans="1:30" x14ac:dyDescent="0.25">
      <c r="A11" t="s">
        <v>15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>
        <f t="shared" si="7"/>
        <v>0.26262626262626265</v>
      </c>
      <c r="K11" s="1" t="e">
        <f t="shared" si="7"/>
        <v>#DIV/0!</v>
      </c>
      <c r="L11" s="1" t="e">
        <f t="shared" si="7"/>
        <v>#DIV/0!</v>
      </c>
      <c r="M11" s="1" t="e">
        <f t="shared" si="7"/>
        <v>#DIV/0!</v>
      </c>
      <c r="N11" s="1" t="e">
        <f t="shared" si="7"/>
        <v>#DIV/0!</v>
      </c>
      <c r="O11" s="1" t="e">
        <f t="shared" si="7"/>
        <v>#DIV/0!</v>
      </c>
      <c r="P11" s="1">
        <f t="shared" si="7"/>
        <v>0.33333333333333331</v>
      </c>
      <c r="Q11" s="1" t="e">
        <f t="shared" si="7"/>
        <v>#DIV/0!</v>
      </c>
      <c r="R11" s="1" t="e">
        <f t="shared" si="7"/>
        <v>#DIV/0!</v>
      </c>
      <c r="S11" s="1">
        <f t="shared" si="7"/>
        <v>5.4054054054054057E-2</v>
      </c>
      <c r="T11" s="5" t="e">
        <f t="shared" si="7"/>
        <v>#DIV/0!</v>
      </c>
      <c r="U11" s="1">
        <f t="shared" si="7"/>
        <v>5.2631578947368418E-2</v>
      </c>
      <c r="V11" s="1" t="e">
        <f t="shared" si="7"/>
        <v>#DIV/0!</v>
      </c>
      <c r="W11" s="1" t="e">
        <f t="shared" si="7"/>
        <v>#DIV/0!</v>
      </c>
      <c r="X11" s="1" t="e">
        <f t="shared" si="7"/>
        <v>#DIV/0!</v>
      </c>
      <c r="Y11" s="1" t="e">
        <f t="shared" si="7"/>
        <v>#DIV/0!</v>
      </c>
      <c r="Z11" s="1" t="e">
        <f t="shared" si="7"/>
        <v>#DIV/0!</v>
      </c>
      <c r="AA11" s="1" t="e">
        <f t="shared" si="7"/>
        <v>#DIV/0!</v>
      </c>
      <c r="AB11" s="1" t="e">
        <f t="shared" si="7"/>
        <v>#DIV/0!</v>
      </c>
      <c r="AC11" s="1" t="e">
        <f t="shared" si="7"/>
        <v>#DIV/0!</v>
      </c>
      <c r="AD11" s="5">
        <f t="shared" si="7"/>
        <v>0.33870967741935482</v>
      </c>
    </row>
    <row r="12" spans="1:30" x14ac:dyDescent="0.25">
      <c r="A12" t="s">
        <v>16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0.99397590361445787</v>
      </c>
      <c r="I12" s="1">
        <f t="shared" si="8"/>
        <v>1</v>
      </c>
      <c r="J12" s="1">
        <f t="shared" si="8"/>
        <v>0.68674698795180722</v>
      </c>
      <c r="K12" s="1">
        <f t="shared" si="8"/>
        <v>1</v>
      </c>
      <c r="L12" s="1">
        <f t="shared" si="8"/>
        <v>1</v>
      </c>
      <c r="M12" s="1">
        <f t="shared" si="8"/>
        <v>1</v>
      </c>
      <c r="N12" s="1">
        <f t="shared" si="8"/>
        <v>1</v>
      </c>
      <c r="O12" s="1">
        <f t="shared" si="8"/>
        <v>1</v>
      </c>
      <c r="P12" s="1">
        <f t="shared" si="8"/>
        <v>0.63253012048192769</v>
      </c>
      <c r="Q12" s="1">
        <f t="shared" si="8"/>
        <v>1</v>
      </c>
      <c r="R12" s="1">
        <f t="shared" si="8"/>
        <v>1</v>
      </c>
      <c r="S12" s="1">
        <f t="shared" si="8"/>
        <v>0.98795180722891562</v>
      </c>
      <c r="T12" s="5">
        <f t="shared" si="8"/>
        <v>1</v>
      </c>
      <c r="U12" s="1">
        <f t="shared" si="8"/>
        <v>0.98192771084337349</v>
      </c>
      <c r="V12" s="1">
        <f t="shared" si="8"/>
        <v>1</v>
      </c>
      <c r="W12" s="1">
        <f t="shared" si="8"/>
        <v>1</v>
      </c>
      <c r="X12" s="1">
        <f t="shared" si="8"/>
        <v>1</v>
      </c>
      <c r="Y12" s="1">
        <f t="shared" si="8"/>
        <v>1</v>
      </c>
      <c r="Z12" s="1">
        <f t="shared" si="8"/>
        <v>1</v>
      </c>
      <c r="AA12" s="1">
        <f t="shared" si="8"/>
        <v>1</v>
      </c>
      <c r="AB12" s="1">
        <f t="shared" si="8"/>
        <v>1</v>
      </c>
      <c r="AC12" s="1">
        <f t="shared" si="8"/>
        <v>1</v>
      </c>
      <c r="AD12" s="5">
        <f t="shared" si="8"/>
        <v>0.58433734939759041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15" zoomScaleNormal="115" workbookViewId="0">
      <selection activeCell="R30" sqref="R30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19</v>
      </c>
      <c r="B2" s="1">
        <v>0</v>
      </c>
      <c r="C2" s="1">
        <v>69</v>
      </c>
      <c r="D2" s="1">
        <v>69</v>
      </c>
      <c r="E2" s="1">
        <v>69</v>
      </c>
      <c r="F2" s="1">
        <v>10</v>
      </c>
      <c r="G2" s="1">
        <v>8</v>
      </c>
      <c r="H2" s="1">
        <v>0</v>
      </c>
      <c r="I2" s="1">
        <v>0</v>
      </c>
      <c r="J2" s="1">
        <v>0</v>
      </c>
      <c r="K2" s="1">
        <v>0</v>
      </c>
      <c r="L2" s="1">
        <v>20</v>
      </c>
      <c r="M2" s="1">
        <v>29</v>
      </c>
      <c r="N2" s="1">
        <v>0</v>
      </c>
      <c r="O2" s="1">
        <v>0</v>
      </c>
      <c r="P2" s="1">
        <v>0</v>
      </c>
      <c r="Q2" s="4">
        <v>0</v>
      </c>
      <c r="R2" s="1">
        <v>0</v>
      </c>
      <c r="S2" s="1">
        <v>67</v>
      </c>
      <c r="T2" s="1">
        <v>0</v>
      </c>
      <c r="U2" s="1">
        <v>42</v>
      </c>
      <c r="V2" s="1">
        <v>69</v>
      </c>
      <c r="W2" s="1">
        <v>48</v>
      </c>
      <c r="X2" s="1">
        <v>69</v>
      </c>
      <c r="Y2" s="1">
        <v>69</v>
      </c>
      <c r="Z2" s="1">
        <v>0</v>
      </c>
      <c r="AA2" s="1">
        <v>26</v>
      </c>
      <c r="AB2" s="1">
        <v>69</v>
      </c>
      <c r="AC2" s="1">
        <v>30</v>
      </c>
      <c r="AD2" s="1">
        <v>0</v>
      </c>
    </row>
    <row r="3" spans="1:30" x14ac:dyDescent="0.25">
      <c r="A3" t="s">
        <v>20</v>
      </c>
      <c r="B3" s="1">
        <v>72</v>
      </c>
      <c r="C3" s="1">
        <v>3</v>
      </c>
      <c r="D3" s="1">
        <v>3</v>
      </c>
      <c r="E3" s="1">
        <v>3</v>
      </c>
      <c r="F3" s="1">
        <v>62</v>
      </c>
      <c r="G3" s="1">
        <v>64</v>
      </c>
      <c r="H3" s="1">
        <v>72</v>
      </c>
      <c r="I3" s="1">
        <v>72</v>
      </c>
      <c r="J3" s="1">
        <v>72</v>
      </c>
      <c r="K3" s="1">
        <v>72</v>
      </c>
      <c r="L3" s="1">
        <v>52</v>
      </c>
      <c r="M3" s="1">
        <v>43</v>
      </c>
      <c r="N3" s="1">
        <v>72</v>
      </c>
      <c r="O3" s="1">
        <v>72</v>
      </c>
      <c r="P3" s="1">
        <v>72</v>
      </c>
      <c r="Q3" s="4">
        <v>72</v>
      </c>
      <c r="R3" s="1">
        <v>72</v>
      </c>
      <c r="S3" s="1">
        <v>5</v>
      </c>
      <c r="T3" s="1">
        <v>72</v>
      </c>
      <c r="U3" s="1">
        <v>30</v>
      </c>
      <c r="V3" s="1">
        <v>3</v>
      </c>
      <c r="W3" s="1">
        <v>24</v>
      </c>
      <c r="X3" s="1">
        <v>3</v>
      </c>
      <c r="Y3" s="1">
        <v>3</v>
      </c>
      <c r="Z3" s="1">
        <v>72</v>
      </c>
      <c r="AA3" s="1">
        <v>46</v>
      </c>
      <c r="AB3" s="1">
        <v>3</v>
      </c>
      <c r="AC3" s="1">
        <v>42</v>
      </c>
      <c r="AD3" s="1">
        <v>72</v>
      </c>
    </row>
    <row r="4" spans="1:30" x14ac:dyDescent="0.25">
      <c r="A4" t="s">
        <v>21</v>
      </c>
      <c r="B4" s="1">
        <v>0</v>
      </c>
      <c r="C4" s="1">
        <v>67</v>
      </c>
      <c r="D4" s="1">
        <v>66</v>
      </c>
      <c r="E4" s="1">
        <v>66</v>
      </c>
      <c r="F4" s="1">
        <v>46</v>
      </c>
      <c r="G4" s="1">
        <v>39</v>
      </c>
      <c r="H4" s="1">
        <v>0</v>
      </c>
      <c r="I4" s="1">
        <v>0</v>
      </c>
      <c r="J4" s="1">
        <v>0</v>
      </c>
      <c r="K4" s="1">
        <v>0</v>
      </c>
      <c r="L4" s="1">
        <v>43</v>
      </c>
      <c r="M4" s="1">
        <v>75</v>
      </c>
      <c r="N4" s="1">
        <v>2</v>
      </c>
      <c r="O4" s="1">
        <v>1</v>
      </c>
      <c r="P4" s="1">
        <v>0</v>
      </c>
      <c r="Q4" s="4">
        <v>0</v>
      </c>
      <c r="R4" s="1">
        <v>0</v>
      </c>
      <c r="S4" s="1">
        <v>66</v>
      </c>
      <c r="T4" s="1">
        <v>0</v>
      </c>
      <c r="U4" s="1">
        <v>63</v>
      </c>
      <c r="V4" s="1">
        <v>61</v>
      </c>
      <c r="W4" s="1">
        <v>66</v>
      </c>
      <c r="X4" s="1">
        <v>61</v>
      </c>
      <c r="Y4" s="1">
        <v>61</v>
      </c>
      <c r="Z4" s="1">
        <v>0</v>
      </c>
      <c r="AA4" s="1">
        <v>53</v>
      </c>
      <c r="AB4" s="1">
        <v>61</v>
      </c>
      <c r="AC4" s="1">
        <v>75</v>
      </c>
      <c r="AD4" s="1">
        <v>0</v>
      </c>
    </row>
    <row r="5" spans="1:30" x14ac:dyDescent="0.25">
      <c r="A5" t="s">
        <v>14</v>
      </c>
      <c r="B5" s="1">
        <f t="shared" ref="B5:H5" si="0">200-B2-B3-B4</f>
        <v>128</v>
      </c>
      <c r="C5" s="1">
        <f>200-C2-C3-C4</f>
        <v>61</v>
      </c>
      <c r="D5" s="1">
        <f t="shared" si="0"/>
        <v>62</v>
      </c>
      <c r="E5" s="1">
        <f t="shared" si="0"/>
        <v>62</v>
      </c>
      <c r="F5" s="1">
        <f t="shared" si="0"/>
        <v>82</v>
      </c>
      <c r="G5" s="1">
        <f t="shared" si="0"/>
        <v>89</v>
      </c>
      <c r="H5" s="1">
        <f t="shared" si="0"/>
        <v>128</v>
      </c>
      <c r="I5" s="1">
        <f t="shared" ref="I5:AD5" si="1">200-I2-I3-I4</f>
        <v>128</v>
      </c>
      <c r="J5" s="1">
        <f t="shared" si="1"/>
        <v>128</v>
      </c>
      <c r="K5" s="1">
        <f t="shared" si="1"/>
        <v>128</v>
      </c>
      <c r="L5" s="1">
        <f t="shared" si="1"/>
        <v>85</v>
      </c>
      <c r="M5" s="1">
        <f t="shared" si="1"/>
        <v>53</v>
      </c>
      <c r="N5" s="1">
        <f t="shared" si="1"/>
        <v>126</v>
      </c>
      <c r="O5" s="1">
        <f t="shared" si="1"/>
        <v>127</v>
      </c>
      <c r="P5" s="1">
        <f t="shared" si="1"/>
        <v>128</v>
      </c>
      <c r="Q5" s="4">
        <f t="shared" si="1"/>
        <v>128</v>
      </c>
      <c r="R5" s="4">
        <f t="shared" si="1"/>
        <v>128</v>
      </c>
      <c r="S5" s="1">
        <f t="shared" si="1"/>
        <v>62</v>
      </c>
      <c r="T5" s="1">
        <f>200-T2-T3-T4</f>
        <v>128</v>
      </c>
      <c r="U5" s="1">
        <f t="shared" si="1"/>
        <v>65</v>
      </c>
      <c r="V5" s="1">
        <f t="shared" si="1"/>
        <v>67</v>
      </c>
      <c r="W5" s="1">
        <f t="shared" si="1"/>
        <v>62</v>
      </c>
      <c r="X5" s="1">
        <f t="shared" si="1"/>
        <v>67</v>
      </c>
      <c r="Y5" s="1">
        <f t="shared" si="1"/>
        <v>67</v>
      </c>
      <c r="Z5" s="1">
        <f t="shared" si="1"/>
        <v>128</v>
      </c>
      <c r="AA5" s="1">
        <f>200-AA2-AA3-AA4</f>
        <v>75</v>
      </c>
      <c r="AB5" s="1">
        <f t="shared" si="1"/>
        <v>67</v>
      </c>
      <c r="AC5" s="1">
        <f t="shared" si="1"/>
        <v>53</v>
      </c>
      <c r="AD5" s="1">
        <f t="shared" si="1"/>
        <v>128</v>
      </c>
    </row>
    <row r="6" spans="1:30" x14ac:dyDescent="0.25">
      <c r="A6" t="s">
        <v>17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0.64</v>
      </c>
      <c r="C7" s="1">
        <f t="shared" ref="C7:AD7" si="3">(C5+C2)/C6</f>
        <v>0.65</v>
      </c>
      <c r="D7" s="1">
        <f t="shared" si="3"/>
        <v>0.65500000000000003</v>
      </c>
      <c r="E7" s="1">
        <f t="shared" si="3"/>
        <v>0.65500000000000003</v>
      </c>
      <c r="F7" s="1">
        <f t="shared" si="3"/>
        <v>0.46</v>
      </c>
      <c r="G7" s="1">
        <f t="shared" si="3"/>
        <v>0.48499999999999999</v>
      </c>
      <c r="H7" s="1">
        <f t="shared" si="3"/>
        <v>0.64</v>
      </c>
      <c r="I7" s="1">
        <f t="shared" si="3"/>
        <v>0.64</v>
      </c>
      <c r="J7" s="1">
        <f t="shared" si="3"/>
        <v>0.64</v>
      </c>
      <c r="K7" s="1">
        <f t="shared" si="3"/>
        <v>0.64</v>
      </c>
      <c r="L7" s="1">
        <f t="shared" si="3"/>
        <v>0.52500000000000002</v>
      </c>
      <c r="M7" s="3">
        <f t="shared" si="3"/>
        <v>0.41</v>
      </c>
      <c r="N7" s="1">
        <f t="shared" si="3"/>
        <v>0.63</v>
      </c>
      <c r="O7" s="4">
        <f t="shared" si="3"/>
        <v>0.63500000000000001</v>
      </c>
      <c r="P7" s="1">
        <f t="shared" si="3"/>
        <v>0.64</v>
      </c>
      <c r="Q7" s="4">
        <f t="shared" si="3"/>
        <v>0.64</v>
      </c>
      <c r="R7" s="1">
        <f t="shared" si="3"/>
        <v>0.64</v>
      </c>
      <c r="S7" s="1">
        <f t="shared" si="3"/>
        <v>0.64500000000000002</v>
      </c>
      <c r="T7" s="1">
        <f t="shared" si="3"/>
        <v>0.64</v>
      </c>
      <c r="U7" s="1">
        <f t="shared" si="3"/>
        <v>0.53500000000000003</v>
      </c>
      <c r="V7" s="1">
        <f t="shared" si="3"/>
        <v>0.68</v>
      </c>
      <c r="W7" s="1">
        <f t="shared" si="3"/>
        <v>0.55000000000000004</v>
      </c>
      <c r="X7" s="1">
        <f t="shared" si="3"/>
        <v>0.68</v>
      </c>
      <c r="Y7" s="1">
        <f t="shared" si="3"/>
        <v>0.68</v>
      </c>
      <c r="Z7" s="1">
        <f t="shared" si="3"/>
        <v>0.64</v>
      </c>
      <c r="AA7" s="1">
        <f t="shared" si="3"/>
        <v>0.505</v>
      </c>
      <c r="AB7" s="1">
        <f t="shared" si="3"/>
        <v>0.68</v>
      </c>
      <c r="AC7" s="1">
        <f t="shared" si="3"/>
        <v>0.41499999999999998</v>
      </c>
      <c r="AD7" s="7">
        <f t="shared" si="3"/>
        <v>0.64</v>
      </c>
    </row>
    <row r="8" spans="1:30" x14ac:dyDescent="0.25">
      <c r="A8" t="s">
        <v>1</v>
      </c>
      <c r="B8" s="1">
        <f>1-B7</f>
        <v>0.36</v>
      </c>
      <c r="C8" s="1">
        <f t="shared" ref="C8:AD8" si="4">1-C7</f>
        <v>0.35</v>
      </c>
      <c r="D8" s="1">
        <f t="shared" si="4"/>
        <v>0.34499999999999997</v>
      </c>
      <c r="E8" s="1">
        <f t="shared" si="4"/>
        <v>0.34499999999999997</v>
      </c>
      <c r="F8" s="1">
        <f t="shared" si="4"/>
        <v>0.54</v>
      </c>
      <c r="G8" s="1">
        <f t="shared" si="4"/>
        <v>0.51500000000000001</v>
      </c>
      <c r="H8" s="1">
        <f t="shared" si="4"/>
        <v>0.36</v>
      </c>
      <c r="I8" s="1">
        <f t="shared" si="4"/>
        <v>0.36</v>
      </c>
      <c r="J8" s="1">
        <f t="shared" si="4"/>
        <v>0.36</v>
      </c>
      <c r="K8" s="1">
        <f t="shared" si="4"/>
        <v>0.36</v>
      </c>
      <c r="L8" s="1">
        <f t="shared" si="4"/>
        <v>0.47499999999999998</v>
      </c>
      <c r="M8" s="3">
        <f t="shared" si="4"/>
        <v>0.59000000000000008</v>
      </c>
      <c r="N8" s="1">
        <f t="shared" si="4"/>
        <v>0.37</v>
      </c>
      <c r="O8" s="4">
        <f t="shared" si="4"/>
        <v>0.36499999999999999</v>
      </c>
      <c r="P8" s="1">
        <f t="shared" si="4"/>
        <v>0.36</v>
      </c>
      <c r="Q8" s="4">
        <f t="shared" si="4"/>
        <v>0.36</v>
      </c>
      <c r="R8" s="1">
        <f t="shared" si="4"/>
        <v>0.36</v>
      </c>
      <c r="S8" s="1">
        <f t="shared" si="4"/>
        <v>0.35499999999999998</v>
      </c>
      <c r="T8" s="1">
        <f t="shared" si="4"/>
        <v>0.36</v>
      </c>
      <c r="U8" s="1">
        <f t="shared" si="4"/>
        <v>0.46499999999999997</v>
      </c>
      <c r="V8" s="1">
        <f t="shared" si="4"/>
        <v>0.31999999999999995</v>
      </c>
      <c r="W8" s="1">
        <f t="shared" si="4"/>
        <v>0.44999999999999996</v>
      </c>
      <c r="X8" s="1">
        <f t="shared" si="4"/>
        <v>0.31999999999999995</v>
      </c>
      <c r="Y8" s="1">
        <f t="shared" si="4"/>
        <v>0.31999999999999995</v>
      </c>
      <c r="Z8" s="1">
        <f t="shared" si="4"/>
        <v>0.36</v>
      </c>
      <c r="AA8" s="1">
        <f t="shared" si="4"/>
        <v>0.495</v>
      </c>
      <c r="AB8" s="1">
        <f t="shared" si="4"/>
        <v>0.31999999999999995</v>
      </c>
      <c r="AC8" s="1">
        <f t="shared" si="4"/>
        <v>0.58499999999999996</v>
      </c>
      <c r="AD8" s="7">
        <f t="shared" si="4"/>
        <v>0.36</v>
      </c>
    </row>
    <row r="9" spans="1:30" x14ac:dyDescent="0.25">
      <c r="A9" t="s">
        <v>26</v>
      </c>
      <c r="B9" s="1">
        <f>B2/(B2+B3)</f>
        <v>0</v>
      </c>
      <c r="C9" s="1">
        <f t="shared" ref="C9:AD9" si="5">C2/(C2+C3)</f>
        <v>0.95833333333333337</v>
      </c>
      <c r="D9" s="1">
        <f t="shared" si="5"/>
        <v>0.95833333333333337</v>
      </c>
      <c r="E9" s="1">
        <f t="shared" si="5"/>
        <v>0.95833333333333337</v>
      </c>
      <c r="F9" s="1">
        <f t="shared" si="5"/>
        <v>0.1388888888888889</v>
      </c>
      <c r="G9" s="1">
        <f t="shared" si="5"/>
        <v>0.1111111111111111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0.27777777777777779</v>
      </c>
      <c r="M9" s="3">
        <f t="shared" si="5"/>
        <v>0.40277777777777779</v>
      </c>
      <c r="N9" s="1">
        <f t="shared" si="5"/>
        <v>0</v>
      </c>
      <c r="O9" s="4">
        <f t="shared" si="5"/>
        <v>0</v>
      </c>
      <c r="P9" s="1">
        <f t="shared" si="5"/>
        <v>0</v>
      </c>
      <c r="Q9" s="4">
        <f t="shared" si="5"/>
        <v>0</v>
      </c>
      <c r="R9" s="1">
        <f t="shared" si="5"/>
        <v>0</v>
      </c>
      <c r="S9" s="1">
        <f t="shared" si="5"/>
        <v>0.93055555555555558</v>
      </c>
      <c r="T9" s="1">
        <f t="shared" si="5"/>
        <v>0</v>
      </c>
      <c r="U9" s="1">
        <f t="shared" si="5"/>
        <v>0.58333333333333337</v>
      </c>
      <c r="V9" s="1">
        <f t="shared" si="5"/>
        <v>0.95833333333333337</v>
      </c>
      <c r="W9" s="1">
        <f t="shared" si="5"/>
        <v>0.66666666666666663</v>
      </c>
      <c r="X9" s="1">
        <f t="shared" si="5"/>
        <v>0.95833333333333337</v>
      </c>
      <c r="Y9" s="1">
        <f t="shared" si="5"/>
        <v>0.95833333333333337</v>
      </c>
      <c r="Z9" s="1">
        <f t="shared" si="5"/>
        <v>0</v>
      </c>
      <c r="AA9" s="1">
        <f t="shared" si="5"/>
        <v>0.3611111111111111</v>
      </c>
      <c r="AB9" s="1">
        <f t="shared" si="5"/>
        <v>0.95833333333333337</v>
      </c>
      <c r="AC9" s="1">
        <f t="shared" si="5"/>
        <v>0.41666666666666669</v>
      </c>
      <c r="AD9" s="7">
        <f t="shared" si="5"/>
        <v>0</v>
      </c>
    </row>
    <row r="10" spans="1:30" x14ac:dyDescent="0.25">
      <c r="A10" t="s">
        <v>25</v>
      </c>
      <c r="B10" s="1" t="e">
        <f>B2/(B2+B4)</f>
        <v>#DIV/0!</v>
      </c>
      <c r="C10" s="1">
        <f t="shared" ref="C10:AD10" si="6">C2/(C2+C4)</f>
        <v>0.50735294117647056</v>
      </c>
      <c r="D10" s="1">
        <f t="shared" si="6"/>
        <v>0.51111111111111107</v>
      </c>
      <c r="E10" s="1">
        <f t="shared" si="6"/>
        <v>0.51111111111111107</v>
      </c>
      <c r="F10" s="1">
        <f t="shared" si="6"/>
        <v>0.17857142857142858</v>
      </c>
      <c r="G10" s="1">
        <f t="shared" si="6"/>
        <v>0.1702127659574468</v>
      </c>
      <c r="H10" s="1" t="e">
        <f t="shared" si="6"/>
        <v>#DIV/0!</v>
      </c>
      <c r="I10" s="1" t="e">
        <f t="shared" si="6"/>
        <v>#DIV/0!</v>
      </c>
      <c r="J10" s="1" t="e">
        <f t="shared" si="6"/>
        <v>#DIV/0!</v>
      </c>
      <c r="K10" s="1" t="e">
        <f t="shared" si="6"/>
        <v>#DIV/0!</v>
      </c>
      <c r="L10" s="1">
        <f t="shared" si="6"/>
        <v>0.31746031746031744</v>
      </c>
      <c r="M10" s="3">
        <f t="shared" si="6"/>
        <v>0.27884615384615385</v>
      </c>
      <c r="N10" s="1">
        <f t="shared" si="6"/>
        <v>0</v>
      </c>
      <c r="O10" s="4">
        <f t="shared" si="6"/>
        <v>0</v>
      </c>
      <c r="P10" s="1" t="e">
        <f t="shared" si="6"/>
        <v>#DIV/0!</v>
      </c>
      <c r="Q10" s="4" t="e">
        <f t="shared" si="6"/>
        <v>#DIV/0!</v>
      </c>
      <c r="R10" s="1" t="e">
        <f t="shared" si="6"/>
        <v>#DIV/0!</v>
      </c>
      <c r="S10" s="1">
        <f t="shared" si="6"/>
        <v>0.50375939849624063</v>
      </c>
      <c r="T10" s="1" t="e">
        <f t="shared" si="6"/>
        <v>#DIV/0!</v>
      </c>
      <c r="U10" s="1">
        <f t="shared" si="6"/>
        <v>0.4</v>
      </c>
      <c r="V10" s="1">
        <f t="shared" si="6"/>
        <v>0.53076923076923077</v>
      </c>
      <c r="W10" s="1">
        <f t="shared" si="6"/>
        <v>0.42105263157894735</v>
      </c>
      <c r="X10" s="1">
        <f t="shared" si="6"/>
        <v>0.53076923076923077</v>
      </c>
      <c r="Y10" s="1">
        <f t="shared" si="6"/>
        <v>0.53076923076923077</v>
      </c>
      <c r="Z10" s="1" t="e">
        <f t="shared" si="6"/>
        <v>#DIV/0!</v>
      </c>
      <c r="AA10" s="1">
        <f t="shared" si="6"/>
        <v>0.32911392405063289</v>
      </c>
      <c r="AB10" s="1">
        <f t="shared" si="6"/>
        <v>0.53076923076923077</v>
      </c>
      <c r="AC10" s="1">
        <f t="shared" si="6"/>
        <v>0.2857142857142857</v>
      </c>
      <c r="AD10" s="7" t="e">
        <f t="shared" si="6"/>
        <v>#DIV/0!</v>
      </c>
    </row>
    <row r="11" spans="1:30" x14ac:dyDescent="0.25">
      <c r="A11" t="s">
        <v>15</v>
      </c>
      <c r="B11" s="1" t="e">
        <f>2*B9*B10/(B9+B10)</f>
        <v>#DIV/0!</v>
      </c>
      <c r="C11" s="1">
        <f t="shared" ref="C11:AD11" si="7">2*C9*C10/(C9+C10)</f>
        <v>0.66346153846153844</v>
      </c>
      <c r="D11" s="1">
        <f t="shared" si="7"/>
        <v>0.66666666666666663</v>
      </c>
      <c r="E11" s="1">
        <f t="shared" si="7"/>
        <v>0.66666666666666663</v>
      </c>
      <c r="F11" s="1">
        <f t="shared" si="7"/>
        <v>0.15625000000000003</v>
      </c>
      <c r="G11" s="1">
        <f t="shared" si="7"/>
        <v>0.13445378151260506</v>
      </c>
      <c r="H11" s="1" t="e">
        <f t="shared" si="7"/>
        <v>#DIV/0!</v>
      </c>
      <c r="I11" s="1" t="e">
        <f t="shared" si="7"/>
        <v>#DIV/0!</v>
      </c>
      <c r="J11" s="1" t="e">
        <f t="shared" si="7"/>
        <v>#DIV/0!</v>
      </c>
      <c r="K11" s="1" t="e">
        <f t="shared" si="7"/>
        <v>#DIV/0!</v>
      </c>
      <c r="L11" s="1">
        <f t="shared" si="7"/>
        <v>0.29629629629629628</v>
      </c>
      <c r="M11" s="3">
        <f t="shared" si="7"/>
        <v>0.32954545454545453</v>
      </c>
      <c r="N11" s="1" t="e">
        <f t="shared" si="7"/>
        <v>#DIV/0!</v>
      </c>
      <c r="O11" s="4" t="e">
        <f t="shared" si="7"/>
        <v>#DIV/0!</v>
      </c>
      <c r="P11" s="1" t="e">
        <f t="shared" si="7"/>
        <v>#DIV/0!</v>
      </c>
      <c r="Q11" s="4" t="e">
        <f t="shared" si="7"/>
        <v>#DIV/0!</v>
      </c>
      <c r="R11" s="1" t="e">
        <f t="shared" si="7"/>
        <v>#DIV/0!</v>
      </c>
      <c r="S11" s="1">
        <f t="shared" si="7"/>
        <v>0.65365853658536588</v>
      </c>
      <c r="T11" s="1" t="e">
        <f t="shared" si="7"/>
        <v>#DIV/0!</v>
      </c>
      <c r="U11" s="1">
        <f t="shared" si="7"/>
        <v>0.47457627118644069</v>
      </c>
      <c r="V11" s="1">
        <f t="shared" si="7"/>
        <v>0.68316831683168311</v>
      </c>
      <c r="W11" s="1">
        <f t="shared" si="7"/>
        <v>0.51612903225806461</v>
      </c>
      <c r="X11" s="1">
        <f t="shared" si="7"/>
        <v>0.68316831683168311</v>
      </c>
      <c r="Y11" s="1">
        <f t="shared" si="7"/>
        <v>0.68316831683168311</v>
      </c>
      <c r="Z11" s="1" t="e">
        <f t="shared" si="7"/>
        <v>#DIV/0!</v>
      </c>
      <c r="AA11" s="1">
        <f t="shared" si="7"/>
        <v>0.34437086092715224</v>
      </c>
      <c r="AB11" s="1">
        <f t="shared" si="7"/>
        <v>0.68316831683168311</v>
      </c>
      <c r="AC11" s="1">
        <f t="shared" si="7"/>
        <v>0.33898305084745761</v>
      </c>
      <c r="AD11" s="7" t="e">
        <f t="shared" si="7"/>
        <v>#DIV/0!</v>
      </c>
    </row>
    <row r="12" spans="1:30" x14ac:dyDescent="0.25">
      <c r="A12" t="s">
        <v>16</v>
      </c>
      <c r="B12" s="1">
        <f>B5/(B4+B5)</f>
        <v>1</v>
      </c>
      <c r="C12" s="1">
        <f t="shared" ref="C12:AD12" si="8">C5/(C4+C5)</f>
        <v>0.4765625</v>
      </c>
      <c r="D12" s="1">
        <f t="shared" si="8"/>
        <v>0.484375</v>
      </c>
      <c r="E12" s="1">
        <f t="shared" si="8"/>
        <v>0.484375</v>
      </c>
      <c r="F12" s="1">
        <f t="shared" si="8"/>
        <v>0.640625</v>
      </c>
      <c r="G12" s="1">
        <f t="shared" si="8"/>
        <v>0.6953125</v>
      </c>
      <c r="H12" s="1">
        <f t="shared" si="8"/>
        <v>1</v>
      </c>
      <c r="I12" s="1">
        <f t="shared" si="8"/>
        <v>1</v>
      </c>
      <c r="J12" s="1">
        <f t="shared" si="8"/>
        <v>1</v>
      </c>
      <c r="K12" s="1">
        <f t="shared" si="8"/>
        <v>1</v>
      </c>
      <c r="L12" s="1">
        <f t="shared" si="8"/>
        <v>0.6640625</v>
      </c>
      <c r="M12" s="3">
        <f t="shared" si="8"/>
        <v>0.4140625</v>
      </c>
      <c r="N12" s="1">
        <f t="shared" si="8"/>
        <v>0.984375</v>
      </c>
      <c r="O12" s="4">
        <f t="shared" si="8"/>
        <v>0.9921875</v>
      </c>
      <c r="P12" s="1">
        <f t="shared" si="8"/>
        <v>1</v>
      </c>
      <c r="Q12" s="4">
        <f t="shared" si="8"/>
        <v>1</v>
      </c>
      <c r="R12" s="1">
        <f t="shared" si="8"/>
        <v>1</v>
      </c>
      <c r="S12" s="1">
        <f t="shared" si="8"/>
        <v>0.484375</v>
      </c>
      <c r="T12" s="1">
        <f t="shared" si="8"/>
        <v>1</v>
      </c>
      <c r="U12" s="1">
        <f t="shared" si="8"/>
        <v>0.5078125</v>
      </c>
      <c r="V12" s="1">
        <f t="shared" si="8"/>
        <v>0.5234375</v>
      </c>
      <c r="W12" s="1">
        <f t="shared" si="8"/>
        <v>0.484375</v>
      </c>
      <c r="X12" s="1">
        <f t="shared" si="8"/>
        <v>0.5234375</v>
      </c>
      <c r="Y12" s="1">
        <f t="shared" si="8"/>
        <v>0.5234375</v>
      </c>
      <c r="Z12" s="1">
        <f t="shared" si="8"/>
        <v>1</v>
      </c>
      <c r="AA12" s="1">
        <f t="shared" si="8"/>
        <v>0.5859375</v>
      </c>
      <c r="AB12" s="1">
        <f t="shared" si="8"/>
        <v>0.5234375</v>
      </c>
      <c r="AC12" s="1">
        <f t="shared" si="8"/>
        <v>0.4140625</v>
      </c>
      <c r="AD12" s="7">
        <f t="shared" si="8"/>
        <v>1</v>
      </c>
    </row>
    <row r="13" spans="1:30" x14ac:dyDescent="0.25">
      <c r="A13" t="s">
        <v>18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3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7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8</v>
      </c>
      <c r="AF1" t="s">
        <v>9</v>
      </c>
    </row>
    <row r="2" spans="1:32" x14ac:dyDescent="0.25">
      <c r="A2">
        <v>0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>
        <v>3</v>
      </c>
      <c r="AF2" t="s">
        <v>6</v>
      </c>
    </row>
    <row r="3" spans="1:32" x14ac:dyDescent="0.25">
      <c r="A3">
        <v>1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>
        <v>4</v>
      </c>
      <c r="AF3" t="s">
        <v>4</v>
      </c>
    </row>
    <row r="4" spans="1:32" x14ac:dyDescent="0.25">
      <c r="A4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>
        <v>5</v>
      </c>
      <c r="AF4" t="s">
        <v>5</v>
      </c>
    </row>
    <row r="5" spans="1:32" x14ac:dyDescent="0.25">
      <c r="A5">
        <v>3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>
        <v>12</v>
      </c>
      <c r="AF5" t="s">
        <v>5</v>
      </c>
    </row>
    <row r="6" spans="1:32" x14ac:dyDescent="0.25">
      <c r="A6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5</v>
      </c>
      <c r="N6" t="s">
        <v>5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>
        <v>13</v>
      </c>
      <c r="AF6" t="s">
        <v>6</v>
      </c>
    </row>
    <row r="7" spans="1:32" x14ac:dyDescent="0.25">
      <c r="A7">
        <v>5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>
        <v>25</v>
      </c>
      <c r="AF7" t="s">
        <v>5</v>
      </c>
    </row>
    <row r="8" spans="1:32" x14ac:dyDescent="0.25">
      <c r="A8">
        <v>6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>
        <v>40</v>
      </c>
      <c r="AF8" t="s">
        <v>4</v>
      </c>
    </row>
    <row r="9" spans="1:32" x14ac:dyDescent="0.25">
      <c r="A9">
        <v>7</v>
      </c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>
        <v>55</v>
      </c>
      <c r="AF9" t="s">
        <v>5</v>
      </c>
    </row>
    <row r="10" spans="1:32" x14ac:dyDescent="0.25">
      <c r="A10">
        <v>8</v>
      </c>
      <c r="B10" t="s">
        <v>5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>
        <v>60</v>
      </c>
      <c r="AF10" t="s">
        <v>5</v>
      </c>
    </row>
    <row r="11" spans="1:32" x14ac:dyDescent="0.25">
      <c r="A11">
        <v>9</v>
      </c>
      <c r="B11" t="s">
        <v>4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>
        <v>70</v>
      </c>
      <c r="AF11" t="s">
        <v>4</v>
      </c>
    </row>
    <row r="12" spans="1:32" x14ac:dyDescent="0.25">
      <c r="A12">
        <v>10</v>
      </c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>
        <v>72</v>
      </c>
      <c r="AF12" t="s">
        <v>6</v>
      </c>
    </row>
    <row r="13" spans="1:32" x14ac:dyDescent="0.25">
      <c r="A13">
        <v>11</v>
      </c>
      <c r="B13" t="s">
        <v>4</v>
      </c>
      <c r="C13" t="s">
        <v>4</v>
      </c>
      <c r="D13" t="s">
        <v>4</v>
      </c>
      <c r="E13" t="s">
        <v>6</v>
      </c>
      <c r="F13" t="s">
        <v>6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>
        <v>85</v>
      </c>
      <c r="AF13" t="s">
        <v>5</v>
      </c>
    </row>
    <row r="14" spans="1:32" x14ac:dyDescent="0.25">
      <c r="A14">
        <v>12</v>
      </c>
      <c r="B14" t="s">
        <v>5</v>
      </c>
      <c r="C14" t="s">
        <v>5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>
        <v>106</v>
      </c>
      <c r="AF14" t="s">
        <v>6</v>
      </c>
    </row>
    <row r="15" spans="1:32" x14ac:dyDescent="0.25">
      <c r="A15">
        <v>13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>
        <v>113</v>
      </c>
      <c r="AF15" t="s">
        <v>4</v>
      </c>
    </row>
    <row r="16" spans="1:32" x14ac:dyDescent="0.25">
      <c r="A16">
        <v>14</v>
      </c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>
        <v>131</v>
      </c>
      <c r="AF16" t="s">
        <v>5</v>
      </c>
    </row>
    <row r="17" spans="1:32" x14ac:dyDescent="0.25">
      <c r="A17">
        <v>15</v>
      </c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>
        <v>154</v>
      </c>
      <c r="AF17" t="s">
        <v>6</v>
      </c>
    </row>
    <row r="18" spans="1:32" x14ac:dyDescent="0.25">
      <c r="A18">
        <v>16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>
        <v>161</v>
      </c>
      <c r="AF18" t="s">
        <v>4</v>
      </c>
    </row>
    <row r="19" spans="1:32" x14ac:dyDescent="0.25">
      <c r="A19">
        <v>17</v>
      </c>
      <c r="B19" t="s">
        <v>4</v>
      </c>
      <c r="C19" t="s">
        <v>4</v>
      </c>
      <c r="D19" t="s">
        <v>5</v>
      </c>
      <c r="E19" t="s">
        <v>6</v>
      </c>
      <c r="F19" t="s">
        <v>5</v>
      </c>
      <c r="G19" t="s">
        <v>5</v>
      </c>
      <c r="H19" t="s">
        <v>5</v>
      </c>
      <c r="I19" t="s">
        <v>5</v>
      </c>
      <c r="J19" t="s">
        <v>4</v>
      </c>
      <c r="K19" t="s">
        <v>4</v>
      </c>
      <c r="L19" t="s">
        <v>4</v>
      </c>
      <c r="M19" t="s">
        <v>4</v>
      </c>
      <c r="N19" t="s">
        <v>6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>
        <v>172</v>
      </c>
      <c r="AF19" t="s">
        <v>5</v>
      </c>
    </row>
    <row r="20" spans="1:32" x14ac:dyDescent="0.25">
      <c r="A20">
        <v>18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>
        <v>209</v>
      </c>
      <c r="AF20" t="s">
        <v>4</v>
      </c>
    </row>
    <row r="21" spans="1:32" x14ac:dyDescent="0.25">
      <c r="A21">
        <v>19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>
        <v>219</v>
      </c>
      <c r="AF21" t="s">
        <v>5</v>
      </c>
    </row>
    <row r="22" spans="1:32" x14ac:dyDescent="0.25">
      <c r="A22">
        <v>20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>
        <v>255</v>
      </c>
      <c r="AF22" t="s">
        <v>4</v>
      </c>
    </row>
    <row r="23" spans="1:32" x14ac:dyDescent="0.25">
      <c r="A23">
        <v>21</v>
      </c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>
        <v>266</v>
      </c>
      <c r="AF23" t="s">
        <v>5</v>
      </c>
    </row>
    <row r="24" spans="1:32" x14ac:dyDescent="0.25">
      <c r="A24">
        <v>22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  <c r="O24" t="s">
        <v>4</v>
      </c>
      <c r="P24" t="s">
        <v>4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>
        <v>273</v>
      </c>
      <c r="AF24" t="s">
        <v>6</v>
      </c>
    </row>
    <row r="25" spans="1:32" x14ac:dyDescent="0.25">
      <c r="A25">
        <v>23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>
        <v>306</v>
      </c>
      <c r="AF25" t="s">
        <v>6</v>
      </c>
    </row>
    <row r="26" spans="1:32" x14ac:dyDescent="0.25">
      <c r="A26">
        <v>24</v>
      </c>
      <c r="B26" t="s">
        <v>5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>
        <v>317</v>
      </c>
      <c r="AF26" t="s">
        <v>5</v>
      </c>
    </row>
    <row r="27" spans="1:32" x14ac:dyDescent="0.25">
      <c r="A27">
        <v>25</v>
      </c>
      <c r="B27" t="s">
        <v>5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>
        <v>327</v>
      </c>
      <c r="AF27" t="s">
        <v>5</v>
      </c>
    </row>
    <row r="28" spans="1:32" x14ac:dyDescent="0.25">
      <c r="A28">
        <v>26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5</v>
      </c>
      <c r="K28" t="s">
        <v>5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>
        <v>330</v>
      </c>
      <c r="AF28" t="s">
        <v>4</v>
      </c>
    </row>
    <row r="29" spans="1:32" x14ac:dyDescent="0.25">
      <c r="A29">
        <v>27</v>
      </c>
      <c r="B29" t="s">
        <v>4</v>
      </c>
      <c r="C29" t="s">
        <v>4</v>
      </c>
      <c r="D29" t="s">
        <v>4</v>
      </c>
      <c r="E29" t="s">
        <v>4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>
        <v>355</v>
      </c>
      <c r="AF29" t="s">
        <v>4</v>
      </c>
    </row>
    <row r="30" spans="1:32" x14ac:dyDescent="0.25">
      <c r="A30">
        <v>28</v>
      </c>
      <c r="B30" t="s">
        <v>5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>
        <v>368</v>
      </c>
      <c r="AF30" t="s">
        <v>5</v>
      </c>
    </row>
    <row r="31" spans="1:32" x14ac:dyDescent="0.25">
      <c r="A31">
        <v>29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>
        <v>381</v>
      </c>
      <c r="AF31" t="s">
        <v>4</v>
      </c>
    </row>
    <row r="32" spans="1:32" x14ac:dyDescent="0.25">
      <c r="A32">
        <v>30</v>
      </c>
      <c r="B32" t="s">
        <v>4</v>
      </c>
      <c r="C32" t="s">
        <v>4</v>
      </c>
      <c r="D32" t="s">
        <v>4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4</v>
      </c>
      <c r="AE32">
        <v>411</v>
      </c>
      <c r="AF32" t="s">
        <v>6</v>
      </c>
    </row>
    <row r="33" spans="1:32" x14ac:dyDescent="0.25">
      <c r="A33">
        <v>31</v>
      </c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>
        <v>413</v>
      </c>
      <c r="AF33" t="s">
        <v>5</v>
      </c>
    </row>
    <row r="34" spans="1:32" x14ac:dyDescent="0.25">
      <c r="A34">
        <v>32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>
        <v>425</v>
      </c>
      <c r="AF34" t="s">
        <v>4</v>
      </c>
    </row>
    <row r="35" spans="1:32" x14ac:dyDescent="0.25">
      <c r="A35">
        <v>33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  <c r="P35" t="s">
        <v>4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>
        <v>456</v>
      </c>
      <c r="AF35" t="s">
        <v>4</v>
      </c>
    </row>
    <row r="36" spans="1:32" x14ac:dyDescent="0.25">
      <c r="A36">
        <v>34</v>
      </c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>
        <v>463</v>
      </c>
      <c r="AF36" t="s">
        <v>6</v>
      </c>
    </row>
    <row r="37" spans="1:32" x14ac:dyDescent="0.25">
      <c r="A37">
        <v>35</v>
      </c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>
        <v>470</v>
      </c>
      <c r="AF37" t="s">
        <v>5</v>
      </c>
    </row>
    <row r="38" spans="1:32" x14ac:dyDescent="0.25">
      <c r="A38">
        <v>36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>
        <v>504</v>
      </c>
      <c r="AF38" t="s">
        <v>4</v>
      </c>
    </row>
    <row r="39" spans="1:32" x14ac:dyDescent="0.25">
      <c r="A39">
        <v>37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>
        <v>510</v>
      </c>
      <c r="AF39" t="s">
        <v>5</v>
      </c>
    </row>
    <row r="40" spans="1:32" x14ac:dyDescent="0.25">
      <c r="A40">
        <v>38</v>
      </c>
      <c r="B40" t="s">
        <v>5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>
        <v>532</v>
      </c>
      <c r="AF40" t="s">
        <v>6</v>
      </c>
    </row>
    <row r="41" spans="1:32" x14ac:dyDescent="0.25">
      <c r="A41">
        <v>39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6</v>
      </c>
      <c r="K41" t="s">
        <v>6</v>
      </c>
      <c r="L41" t="s">
        <v>6</v>
      </c>
      <c r="M41" t="s">
        <v>6</v>
      </c>
      <c r="N41" t="s">
        <v>4</v>
      </c>
      <c r="O41" t="s">
        <v>4</v>
      </c>
      <c r="P41" t="s">
        <v>4</v>
      </c>
      <c r="Q41" t="s">
        <v>6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>
        <v>544</v>
      </c>
      <c r="AF41" t="s">
        <v>4</v>
      </c>
    </row>
    <row r="42" spans="1:32" x14ac:dyDescent="0.25">
      <c r="A42">
        <v>40</v>
      </c>
      <c r="B42" t="s">
        <v>5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>
        <v>546</v>
      </c>
      <c r="AF42" t="s">
        <v>5</v>
      </c>
    </row>
    <row r="43" spans="1:32" x14ac:dyDescent="0.25">
      <c r="A43">
        <v>41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>
        <v>565</v>
      </c>
      <c r="AF43" t="s">
        <v>4</v>
      </c>
    </row>
    <row r="44" spans="1:32" x14ac:dyDescent="0.25">
      <c r="A44">
        <v>42</v>
      </c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>
        <v>578</v>
      </c>
      <c r="AF44" t="s">
        <v>5</v>
      </c>
    </row>
    <row r="45" spans="1:32" x14ac:dyDescent="0.25">
      <c r="A45">
        <v>43</v>
      </c>
      <c r="B45" t="s">
        <v>5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>
        <v>598</v>
      </c>
      <c r="AF45" t="s">
        <v>5</v>
      </c>
    </row>
    <row r="46" spans="1:32" x14ac:dyDescent="0.25">
      <c r="A46">
        <v>44</v>
      </c>
      <c r="B46" t="s">
        <v>5</v>
      </c>
      <c r="C46" t="s">
        <v>5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>
        <v>602</v>
      </c>
      <c r="AF46" t="s">
        <v>6</v>
      </c>
    </row>
    <row r="47" spans="1:32" x14ac:dyDescent="0.25">
      <c r="A47">
        <v>45</v>
      </c>
      <c r="B47" t="s">
        <v>4</v>
      </c>
      <c r="C47" t="s">
        <v>4</v>
      </c>
      <c r="D47" t="s">
        <v>4</v>
      </c>
      <c r="E47" t="s">
        <v>4</v>
      </c>
      <c r="F47" t="s">
        <v>5</v>
      </c>
      <c r="G47" t="s">
        <v>4</v>
      </c>
      <c r="H47" t="s">
        <v>4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6</v>
      </c>
      <c r="AC47" t="s">
        <v>4</v>
      </c>
      <c r="AD47" t="s">
        <v>4</v>
      </c>
      <c r="AE47">
        <v>604</v>
      </c>
      <c r="AF47" t="s">
        <v>4</v>
      </c>
    </row>
    <row r="48" spans="1:32" x14ac:dyDescent="0.25">
      <c r="A48">
        <v>46</v>
      </c>
      <c r="B48" t="s">
        <v>4</v>
      </c>
      <c r="C48" t="s">
        <v>4</v>
      </c>
      <c r="D48" t="s">
        <v>4</v>
      </c>
      <c r="E48" t="s">
        <v>4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>
        <v>629</v>
      </c>
      <c r="AF48" t="s">
        <v>6</v>
      </c>
    </row>
    <row r="49" spans="1:32" x14ac:dyDescent="0.25">
      <c r="A49">
        <v>47</v>
      </c>
      <c r="B49" t="s">
        <v>4</v>
      </c>
      <c r="C49" t="s">
        <v>4</v>
      </c>
      <c r="D49" t="s">
        <v>4</v>
      </c>
      <c r="E49" t="s">
        <v>6</v>
      </c>
      <c r="F49" t="s">
        <v>6</v>
      </c>
      <c r="G49" t="s">
        <v>4</v>
      </c>
      <c r="H49" t="s">
        <v>6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>
        <v>634</v>
      </c>
      <c r="AF49" t="s">
        <v>5</v>
      </c>
    </row>
    <row r="50" spans="1:32" x14ac:dyDescent="0.25">
      <c r="A50">
        <v>48</v>
      </c>
      <c r="B50" t="s">
        <v>4</v>
      </c>
      <c r="C50" t="s">
        <v>4</v>
      </c>
      <c r="D50" t="s">
        <v>4</v>
      </c>
      <c r="E50" t="s">
        <v>4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>
        <v>649</v>
      </c>
      <c r="AF50" t="s">
        <v>4</v>
      </c>
    </row>
    <row r="51" spans="1:32" x14ac:dyDescent="0.25">
      <c r="A51">
        <v>49</v>
      </c>
      <c r="B51" t="s">
        <v>5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>
        <v>659</v>
      </c>
      <c r="AF51" t="s">
        <v>5</v>
      </c>
    </row>
    <row r="52" spans="1:32" x14ac:dyDescent="0.25">
      <c r="A52">
        <v>50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  <c r="O52" t="s">
        <v>4</v>
      </c>
      <c r="P52" t="s">
        <v>4</v>
      </c>
      <c r="Q52" t="s">
        <v>4</v>
      </c>
      <c r="R52" t="s">
        <v>4</v>
      </c>
      <c r="S52" t="s">
        <v>4</v>
      </c>
      <c r="T52" t="s">
        <v>4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>
        <v>679</v>
      </c>
      <c r="AF52" t="s">
        <v>4</v>
      </c>
    </row>
    <row r="53" spans="1:32" x14ac:dyDescent="0.25">
      <c r="A53">
        <v>51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  <c r="O53" t="s">
        <v>4</v>
      </c>
      <c r="P53" t="s">
        <v>4</v>
      </c>
      <c r="Q53" t="s">
        <v>4</v>
      </c>
      <c r="R53" t="s">
        <v>4</v>
      </c>
      <c r="S53" t="s">
        <v>4</v>
      </c>
      <c r="T53" t="s">
        <v>4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>
        <v>690</v>
      </c>
      <c r="AF53" t="s">
        <v>6</v>
      </c>
    </row>
    <row r="54" spans="1:32" x14ac:dyDescent="0.25">
      <c r="A54">
        <v>52</v>
      </c>
      <c r="B54" t="s">
        <v>5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>
        <v>709</v>
      </c>
      <c r="AF54" t="s">
        <v>5</v>
      </c>
    </row>
    <row r="55" spans="1:32" x14ac:dyDescent="0.25">
      <c r="A55">
        <v>53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 t="s">
        <v>4</v>
      </c>
      <c r="R55" t="s">
        <v>4</v>
      </c>
      <c r="S55" t="s">
        <v>4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>
        <v>719</v>
      </c>
      <c r="AF55" t="s">
        <v>4</v>
      </c>
    </row>
    <row r="56" spans="1:32" x14ac:dyDescent="0.25">
      <c r="A56">
        <v>54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  <c r="O56" t="s">
        <v>4</v>
      </c>
      <c r="P56" t="s">
        <v>4</v>
      </c>
      <c r="Q56" t="s">
        <v>4</v>
      </c>
      <c r="R56" t="s">
        <v>4</v>
      </c>
      <c r="S56" t="s">
        <v>4</v>
      </c>
      <c r="T56" t="s">
        <v>4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>
        <v>727</v>
      </c>
      <c r="AF56" t="s">
        <v>6</v>
      </c>
    </row>
    <row r="57" spans="1:32" x14ac:dyDescent="0.25">
      <c r="A57">
        <v>55</v>
      </c>
      <c r="B57" t="s">
        <v>5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>
        <v>729</v>
      </c>
      <c r="AF57" t="s">
        <v>5</v>
      </c>
    </row>
    <row r="58" spans="1:32" x14ac:dyDescent="0.25">
      <c r="A58">
        <v>56</v>
      </c>
      <c r="B58" t="s">
        <v>5</v>
      </c>
      <c r="C58" t="s">
        <v>5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5</v>
      </c>
      <c r="AD58" t="s">
        <v>5</v>
      </c>
      <c r="AE58">
        <v>761</v>
      </c>
      <c r="AF58" t="s">
        <v>4</v>
      </c>
    </row>
    <row r="59" spans="1:32" x14ac:dyDescent="0.25">
      <c r="A59">
        <v>57</v>
      </c>
      <c r="B59" t="s">
        <v>5</v>
      </c>
      <c r="C59" t="s">
        <v>5</v>
      </c>
      <c r="D59" t="s">
        <v>5</v>
      </c>
      <c r="E59" t="s">
        <v>6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>
        <v>763</v>
      </c>
      <c r="AF59" t="s">
        <v>5</v>
      </c>
    </row>
    <row r="60" spans="1:32" x14ac:dyDescent="0.25">
      <c r="A60">
        <v>58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>
        <v>783</v>
      </c>
      <c r="AF60" t="s">
        <v>4</v>
      </c>
    </row>
    <row r="61" spans="1:32" x14ac:dyDescent="0.25">
      <c r="A61">
        <v>59</v>
      </c>
      <c r="B61" t="s">
        <v>5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>
        <v>788</v>
      </c>
      <c r="AF61" t="s">
        <v>5</v>
      </c>
    </row>
    <row r="62" spans="1:32" x14ac:dyDescent="0.25">
      <c r="A62">
        <v>60</v>
      </c>
      <c r="B62" t="s">
        <v>4</v>
      </c>
      <c r="C62" t="s">
        <v>4</v>
      </c>
      <c r="D62" t="s">
        <v>4</v>
      </c>
      <c r="E62" t="s">
        <v>4</v>
      </c>
      <c r="F62" t="s">
        <v>6</v>
      </c>
      <c r="G62" t="s">
        <v>6</v>
      </c>
      <c r="H62" t="s">
        <v>6</v>
      </c>
      <c r="I62" t="s">
        <v>6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6</v>
      </c>
      <c r="AC62" t="s">
        <v>6</v>
      </c>
      <c r="AD62" t="s">
        <v>6</v>
      </c>
      <c r="AE62">
        <v>793</v>
      </c>
      <c r="AF62" t="s">
        <v>6</v>
      </c>
    </row>
    <row r="63" spans="1:32" x14ac:dyDescent="0.25">
      <c r="A63">
        <v>61</v>
      </c>
      <c r="B63" t="s">
        <v>4</v>
      </c>
      <c r="C63" t="s">
        <v>4</v>
      </c>
      <c r="D63" t="s">
        <v>4</v>
      </c>
      <c r="E63" t="s">
        <v>4</v>
      </c>
      <c r="F63" t="s">
        <v>5</v>
      </c>
      <c r="G63" t="s">
        <v>4</v>
      </c>
      <c r="H63" t="s">
        <v>4</v>
      </c>
      <c r="I63" t="s">
        <v>5</v>
      </c>
      <c r="J63" t="s">
        <v>4</v>
      </c>
      <c r="K63" t="s">
        <v>4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6</v>
      </c>
      <c r="AA63" t="s">
        <v>5</v>
      </c>
      <c r="AB63" t="s">
        <v>5</v>
      </c>
      <c r="AC63" t="s">
        <v>5</v>
      </c>
      <c r="AD63" t="s">
        <v>5</v>
      </c>
      <c r="AE63">
        <v>818</v>
      </c>
      <c r="AF63" t="s">
        <v>5</v>
      </c>
    </row>
    <row r="64" spans="1:32" x14ac:dyDescent="0.25">
      <c r="A64">
        <v>62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>
        <v>827</v>
      </c>
      <c r="AF64" t="s">
        <v>4</v>
      </c>
    </row>
    <row r="65" spans="1:32" x14ac:dyDescent="0.25">
      <c r="A65">
        <v>63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  <c r="O65" t="s">
        <v>4</v>
      </c>
      <c r="P65" t="s">
        <v>4</v>
      </c>
      <c r="Q65" t="s">
        <v>4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>
        <v>853</v>
      </c>
      <c r="AF65" t="s">
        <v>4</v>
      </c>
    </row>
    <row r="66" spans="1:32" x14ac:dyDescent="0.25">
      <c r="A66">
        <v>64</v>
      </c>
      <c r="B66" t="s">
        <v>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>
        <v>855</v>
      </c>
      <c r="AF66" t="s">
        <v>5</v>
      </c>
    </row>
    <row r="67" spans="1:32" x14ac:dyDescent="0.25">
      <c r="A67">
        <v>65</v>
      </c>
      <c r="B67" t="s">
        <v>5</v>
      </c>
      <c r="C67" t="s">
        <v>5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>
        <v>885</v>
      </c>
      <c r="AF67" t="s">
        <v>6</v>
      </c>
    </row>
    <row r="68" spans="1:32" x14ac:dyDescent="0.25">
      <c r="A68">
        <v>66</v>
      </c>
      <c r="B68" t="s">
        <v>5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>
        <v>894</v>
      </c>
      <c r="AF68" t="s">
        <v>5</v>
      </c>
    </row>
    <row r="69" spans="1:32" x14ac:dyDescent="0.25">
      <c r="A69">
        <v>67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>
        <v>904</v>
      </c>
      <c r="AF69" t="s">
        <v>6</v>
      </c>
    </row>
    <row r="70" spans="1:32" x14ac:dyDescent="0.25">
      <c r="A70">
        <v>68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>
        <v>907</v>
      </c>
      <c r="AF70" t="s">
        <v>4</v>
      </c>
    </row>
    <row r="71" spans="1:32" x14ac:dyDescent="0.25">
      <c r="A71">
        <v>69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6</v>
      </c>
      <c r="X71" t="s">
        <v>4</v>
      </c>
      <c r="Y71" t="s">
        <v>6</v>
      </c>
      <c r="Z71" t="s">
        <v>6</v>
      </c>
      <c r="AA71" t="s">
        <v>6</v>
      </c>
      <c r="AB71" t="s">
        <v>4</v>
      </c>
      <c r="AC71" t="s">
        <v>4</v>
      </c>
      <c r="AD71" t="s">
        <v>4</v>
      </c>
      <c r="AE71">
        <v>940</v>
      </c>
      <c r="AF71" t="s">
        <v>4</v>
      </c>
    </row>
    <row r="72" spans="1:32" x14ac:dyDescent="0.25">
      <c r="A72">
        <v>70</v>
      </c>
      <c r="B72" t="s">
        <v>5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>
        <v>946</v>
      </c>
      <c r="AF72" t="s">
        <v>5</v>
      </c>
    </row>
    <row r="73" spans="1:32" x14ac:dyDescent="0.25">
      <c r="A73">
        <v>71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  <c r="O73" t="s">
        <v>4</v>
      </c>
      <c r="P73" t="s">
        <v>4</v>
      </c>
      <c r="Q73" t="s">
        <v>4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>
        <v>963</v>
      </c>
      <c r="AF73" t="s">
        <v>4</v>
      </c>
    </row>
    <row r="74" spans="1:32" x14ac:dyDescent="0.25">
      <c r="A74">
        <v>72</v>
      </c>
      <c r="B74" t="s">
        <v>5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>
        <v>982</v>
      </c>
      <c r="AF74" t="s">
        <v>5</v>
      </c>
    </row>
    <row r="75" spans="1:32" x14ac:dyDescent="0.25">
      <c r="A75">
        <v>73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  <c r="O75" t="s">
        <v>4</v>
      </c>
      <c r="P75" t="s">
        <v>4</v>
      </c>
      <c r="Q75" t="s">
        <v>4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>
        <v>992</v>
      </c>
      <c r="AF75" t="s">
        <v>4</v>
      </c>
    </row>
    <row r="76" spans="1:32" x14ac:dyDescent="0.25">
      <c r="A76">
        <v>74</v>
      </c>
      <c r="B76" t="s">
        <v>4</v>
      </c>
      <c r="C76" t="s">
        <v>4</v>
      </c>
      <c r="D76" t="s">
        <v>4</v>
      </c>
      <c r="E76" t="s">
        <v>4</v>
      </c>
      <c r="F76" t="s">
        <v>6</v>
      </c>
      <c r="G76" t="s">
        <v>4</v>
      </c>
      <c r="H76" t="s">
        <v>4</v>
      </c>
      <c r="I76" t="s">
        <v>4</v>
      </c>
      <c r="J76" t="s">
        <v>6</v>
      </c>
      <c r="K76" t="s">
        <v>6</v>
      </c>
      <c r="L76" t="s">
        <v>4</v>
      </c>
      <c r="M76" t="s">
        <v>4</v>
      </c>
      <c r="N76" t="s">
        <v>4</v>
      </c>
      <c r="O76" t="s">
        <v>4</v>
      </c>
      <c r="P76" t="s">
        <v>4</v>
      </c>
      <c r="Q76" t="s">
        <v>4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>
        <v>994</v>
      </c>
      <c r="AF76" t="s">
        <v>6</v>
      </c>
    </row>
    <row r="77" spans="1:32" x14ac:dyDescent="0.25">
      <c r="A77">
        <v>75</v>
      </c>
      <c r="B77" t="s">
        <v>5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>
        <v>996</v>
      </c>
      <c r="AF77" t="s">
        <v>5</v>
      </c>
    </row>
    <row r="78" spans="1:32" x14ac:dyDescent="0.25">
      <c r="A78">
        <v>76</v>
      </c>
      <c r="B78" t="s">
        <v>5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>
        <v>1034</v>
      </c>
      <c r="AF78" t="s">
        <v>5</v>
      </c>
    </row>
    <row r="79" spans="1:32" x14ac:dyDescent="0.25">
      <c r="A79">
        <v>77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  <c r="O79" t="s">
        <v>4</v>
      </c>
      <c r="P79" t="s">
        <v>4</v>
      </c>
      <c r="Q79" t="s">
        <v>4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>
        <v>1048</v>
      </c>
      <c r="AF79" t="s">
        <v>4</v>
      </c>
    </row>
    <row r="80" spans="1:32" x14ac:dyDescent="0.25">
      <c r="A80">
        <v>78</v>
      </c>
      <c r="B80" t="s">
        <v>5</v>
      </c>
      <c r="C80" t="s">
        <v>5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>
        <v>1055</v>
      </c>
      <c r="AF80" t="s">
        <v>6</v>
      </c>
    </row>
    <row r="81" spans="1:32" x14ac:dyDescent="0.25">
      <c r="A81">
        <v>79</v>
      </c>
      <c r="B81" t="s">
        <v>5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>
        <v>1057</v>
      </c>
      <c r="AF81" t="s">
        <v>5</v>
      </c>
    </row>
    <row r="82" spans="1:32" x14ac:dyDescent="0.25">
      <c r="A82">
        <v>80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4</v>
      </c>
      <c r="AE82">
        <v>1063</v>
      </c>
      <c r="AF82" t="s">
        <v>4</v>
      </c>
    </row>
    <row r="83" spans="1:32" x14ac:dyDescent="0.25">
      <c r="A83">
        <v>81</v>
      </c>
      <c r="B83" t="s">
        <v>5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>
        <v>1074</v>
      </c>
      <c r="AF83" t="s">
        <v>5</v>
      </c>
    </row>
    <row r="84" spans="1:32" x14ac:dyDescent="0.25">
      <c r="A84">
        <v>82</v>
      </c>
      <c r="B84" t="s">
        <v>5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>
        <v>1097</v>
      </c>
      <c r="AF84" t="s">
        <v>5</v>
      </c>
    </row>
    <row r="85" spans="1:32" x14ac:dyDescent="0.25">
      <c r="A85">
        <v>83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>
        <v>1102</v>
      </c>
      <c r="AF85" t="s">
        <v>4</v>
      </c>
    </row>
    <row r="86" spans="1:32" x14ac:dyDescent="0.25">
      <c r="A86">
        <v>84</v>
      </c>
      <c r="B86" t="s">
        <v>5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>
        <v>1121</v>
      </c>
      <c r="AF86" t="s">
        <v>5</v>
      </c>
    </row>
    <row r="87" spans="1:32" x14ac:dyDescent="0.25">
      <c r="A87">
        <v>85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D87" t="s">
        <v>4</v>
      </c>
      <c r="AE87">
        <v>1128</v>
      </c>
      <c r="AF87" t="s">
        <v>4</v>
      </c>
    </row>
    <row r="88" spans="1:32" x14ac:dyDescent="0.25">
      <c r="A88">
        <v>86</v>
      </c>
      <c r="B88" t="s">
        <v>5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>
        <v>1153</v>
      </c>
      <c r="AF88" t="s">
        <v>5</v>
      </c>
    </row>
    <row r="89" spans="1:32" x14ac:dyDescent="0.25">
      <c r="A89">
        <v>87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>
        <v>1174</v>
      </c>
      <c r="AF89" t="s">
        <v>4</v>
      </c>
    </row>
    <row r="90" spans="1:32" x14ac:dyDescent="0.25">
      <c r="A90">
        <v>88</v>
      </c>
      <c r="B90" t="s">
        <v>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>
        <v>1185</v>
      </c>
      <c r="AF90" t="s">
        <v>5</v>
      </c>
    </row>
    <row r="91" spans="1:32" x14ac:dyDescent="0.25">
      <c r="A91">
        <v>89</v>
      </c>
      <c r="B91" t="s">
        <v>5</v>
      </c>
      <c r="C91" t="s">
        <v>5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>
        <v>1199</v>
      </c>
      <c r="AF91" t="s">
        <v>4</v>
      </c>
    </row>
    <row r="92" spans="1:32" x14ac:dyDescent="0.25">
      <c r="A92">
        <v>90</v>
      </c>
      <c r="B92" t="s">
        <v>5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>
        <v>1211</v>
      </c>
      <c r="AF92" t="s">
        <v>5</v>
      </c>
    </row>
    <row r="93" spans="1:32" x14ac:dyDescent="0.25">
      <c r="A93">
        <v>91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  <c r="X93" t="s">
        <v>5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>
        <v>1222</v>
      </c>
      <c r="AF93" t="s">
        <v>6</v>
      </c>
    </row>
    <row r="94" spans="1:32" x14ac:dyDescent="0.25">
      <c r="A94">
        <v>92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>
        <v>1223</v>
      </c>
      <c r="AF94" t="s">
        <v>4</v>
      </c>
    </row>
    <row r="95" spans="1:32" x14ac:dyDescent="0.25">
      <c r="A95">
        <v>93</v>
      </c>
      <c r="B95" t="s">
        <v>5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>
        <v>1239</v>
      </c>
      <c r="AF95" t="s">
        <v>5</v>
      </c>
    </row>
    <row r="96" spans="1:32" x14ac:dyDescent="0.25">
      <c r="A96">
        <v>94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>
        <v>1248</v>
      </c>
      <c r="AF96" t="s">
        <v>4</v>
      </c>
    </row>
    <row r="97" spans="1:32" x14ac:dyDescent="0.25">
      <c r="A97">
        <v>95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 t="s">
        <v>4</v>
      </c>
      <c r="M97" t="s">
        <v>4</v>
      </c>
      <c r="N97" t="s">
        <v>4</v>
      </c>
      <c r="O97" t="s">
        <v>4</v>
      </c>
      <c r="P97" t="s">
        <v>4</v>
      </c>
      <c r="Q97" t="s">
        <v>4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>
        <v>1268</v>
      </c>
      <c r="AF97" t="s">
        <v>6</v>
      </c>
    </row>
    <row r="98" spans="1:32" x14ac:dyDescent="0.25">
      <c r="A98">
        <v>96</v>
      </c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 t="s">
        <v>4</v>
      </c>
      <c r="M98" t="s">
        <v>4</v>
      </c>
      <c r="N98" t="s">
        <v>4</v>
      </c>
      <c r="O98" t="s">
        <v>4</v>
      </c>
      <c r="P98" t="s">
        <v>4</v>
      </c>
      <c r="Q98" t="s">
        <v>4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>
        <v>1271</v>
      </c>
      <c r="AF98" t="s">
        <v>4</v>
      </c>
    </row>
    <row r="99" spans="1:32" x14ac:dyDescent="0.25">
      <c r="A99">
        <v>97</v>
      </c>
      <c r="B99" t="s">
        <v>5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>
        <v>1301</v>
      </c>
      <c r="AF99" t="s">
        <v>5</v>
      </c>
    </row>
    <row r="100" spans="1:32" x14ac:dyDescent="0.25">
      <c r="A100">
        <v>98</v>
      </c>
      <c r="B100" t="s">
        <v>4</v>
      </c>
      <c r="C100" t="s">
        <v>4</v>
      </c>
      <c r="D100" t="s">
        <v>4</v>
      </c>
      <c r="E100" t="s">
        <v>4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>
        <v>1308</v>
      </c>
      <c r="AF100" t="s">
        <v>4</v>
      </c>
    </row>
    <row r="101" spans="1:32" x14ac:dyDescent="0.25">
      <c r="A101">
        <v>99</v>
      </c>
      <c r="B101" t="s">
        <v>5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>
        <v>1314</v>
      </c>
      <c r="AF101" t="s">
        <v>5</v>
      </c>
    </row>
    <row r="102" spans="1:32" x14ac:dyDescent="0.25">
      <c r="A102">
        <v>100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>
        <v>1343</v>
      </c>
      <c r="AF102" t="s">
        <v>4</v>
      </c>
    </row>
    <row r="103" spans="1:32" x14ac:dyDescent="0.25">
      <c r="A103">
        <v>101</v>
      </c>
      <c r="B103" t="s">
        <v>5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>
        <v>1351</v>
      </c>
      <c r="AF103" t="s">
        <v>5</v>
      </c>
    </row>
    <row r="104" spans="1:32" x14ac:dyDescent="0.25">
      <c r="A104">
        <v>102</v>
      </c>
      <c r="B104" t="s">
        <v>4</v>
      </c>
      <c r="C104" t="s">
        <v>4</v>
      </c>
      <c r="D104" t="s">
        <v>4</v>
      </c>
      <c r="E104" t="s">
        <v>6</v>
      </c>
      <c r="F104" t="s">
        <v>6</v>
      </c>
      <c r="G104" t="s">
        <v>5</v>
      </c>
      <c r="H104" t="s">
        <v>5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>
        <v>1368</v>
      </c>
      <c r="AF104" t="s">
        <v>4</v>
      </c>
    </row>
    <row r="105" spans="1:32" x14ac:dyDescent="0.25">
      <c r="A105">
        <v>103</v>
      </c>
      <c r="B105" t="s">
        <v>4</v>
      </c>
      <c r="C105" t="s">
        <v>4</v>
      </c>
      <c r="D105" t="s">
        <v>4</v>
      </c>
      <c r="E105" t="s">
        <v>6</v>
      </c>
      <c r="F105" t="s">
        <v>6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6</v>
      </c>
      <c r="N105" t="s">
        <v>6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4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>
        <v>1387</v>
      </c>
      <c r="AF105" t="s">
        <v>5</v>
      </c>
    </row>
    <row r="106" spans="1:32" x14ac:dyDescent="0.25">
      <c r="A106">
        <v>104</v>
      </c>
      <c r="B106" t="s">
        <v>4</v>
      </c>
      <c r="C106" t="s">
        <v>4</v>
      </c>
      <c r="D106" t="s">
        <v>4</v>
      </c>
      <c r="E106" t="s">
        <v>4</v>
      </c>
      <c r="F106" t="s">
        <v>4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4</v>
      </c>
      <c r="M106" t="s">
        <v>4</v>
      </c>
      <c r="N106" t="s">
        <v>6</v>
      </c>
      <c r="O106" t="s">
        <v>6</v>
      </c>
      <c r="P106" t="s">
        <v>6</v>
      </c>
      <c r="Q106" t="s">
        <v>6</v>
      </c>
      <c r="R106" t="s">
        <v>5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>
        <v>1393</v>
      </c>
      <c r="AF106" t="s">
        <v>4</v>
      </c>
    </row>
    <row r="107" spans="1:32" x14ac:dyDescent="0.25">
      <c r="A107">
        <v>105</v>
      </c>
      <c r="B107" t="s">
        <v>4</v>
      </c>
      <c r="C107" t="s">
        <v>4</v>
      </c>
      <c r="D107" t="s">
        <v>4</v>
      </c>
      <c r="E107" t="s">
        <v>4</v>
      </c>
      <c r="F107" t="s">
        <v>6</v>
      </c>
      <c r="G107" t="s">
        <v>6</v>
      </c>
      <c r="H107" t="s">
        <v>6</v>
      </c>
      <c r="I107" t="s">
        <v>6</v>
      </c>
      <c r="J107" t="s">
        <v>5</v>
      </c>
      <c r="K107" t="s">
        <v>6</v>
      </c>
      <c r="L107" t="s">
        <v>6</v>
      </c>
      <c r="M107" t="s">
        <v>6</v>
      </c>
      <c r="N107" t="s">
        <v>6</v>
      </c>
      <c r="O107" t="s">
        <v>6</v>
      </c>
      <c r="P107" t="s">
        <v>6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4</v>
      </c>
      <c r="AC107" t="s">
        <v>4</v>
      </c>
      <c r="AD107" t="s">
        <v>4</v>
      </c>
      <c r="AE107">
        <v>1407</v>
      </c>
      <c r="AF107" t="s">
        <v>6</v>
      </c>
    </row>
    <row r="108" spans="1:32" x14ac:dyDescent="0.25">
      <c r="A108">
        <v>106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>
        <v>1422</v>
      </c>
      <c r="AF108" t="s">
        <v>4</v>
      </c>
    </row>
    <row r="109" spans="1:32" x14ac:dyDescent="0.25">
      <c r="A109">
        <v>107</v>
      </c>
      <c r="B109" t="s">
        <v>5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>
        <v>1431</v>
      </c>
      <c r="AF109" t="s">
        <v>5</v>
      </c>
    </row>
    <row r="110" spans="1:32" x14ac:dyDescent="0.25">
      <c r="A110">
        <v>108</v>
      </c>
      <c r="B110" t="s">
        <v>5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>
        <v>1441</v>
      </c>
      <c r="AF110" t="s">
        <v>5</v>
      </c>
    </row>
    <row r="111" spans="1:32" x14ac:dyDescent="0.25">
      <c r="A111">
        <v>109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  <c r="P111" t="s">
        <v>4</v>
      </c>
      <c r="Q111" t="s">
        <v>4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>
        <v>1451</v>
      </c>
      <c r="AF111" t="s">
        <v>4</v>
      </c>
    </row>
    <row r="112" spans="1:32" x14ac:dyDescent="0.25">
      <c r="A112">
        <v>110</v>
      </c>
      <c r="B112" t="s">
        <v>4</v>
      </c>
      <c r="C112" t="s">
        <v>4</v>
      </c>
      <c r="D112" t="s">
        <v>4</v>
      </c>
      <c r="E112" t="s">
        <v>4</v>
      </c>
      <c r="F112" t="s">
        <v>6</v>
      </c>
      <c r="G112" t="s">
        <v>6</v>
      </c>
      <c r="H112" t="s">
        <v>6</v>
      </c>
      <c r="I112" t="s">
        <v>6</v>
      </c>
      <c r="J112" t="s">
        <v>6</v>
      </c>
      <c r="K112" t="s">
        <v>6</v>
      </c>
      <c r="L112" t="s">
        <v>6</v>
      </c>
      <c r="M112" t="s">
        <v>6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>
        <v>1469</v>
      </c>
      <c r="AF112" t="s">
        <v>4</v>
      </c>
    </row>
    <row r="113" spans="1:32" x14ac:dyDescent="0.25">
      <c r="A113">
        <v>111</v>
      </c>
      <c r="B113" t="s">
        <v>5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>
        <v>1474</v>
      </c>
      <c r="AF113" t="s">
        <v>5</v>
      </c>
    </row>
    <row r="114" spans="1:32" x14ac:dyDescent="0.25">
      <c r="A114">
        <v>112</v>
      </c>
      <c r="B114" t="s">
        <v>5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>
        <v>1484</v>
      </c>
      <c r="AF114" t="s">
        <v>5</v>
      </c>
    </row>
    <row r="115" spans="1:32" x14ac:dyDescent="0.25">
      <c r="A115">
        <v>113</v>
      </c>
      <c r="B115" t="s">
        <v>5</v>
      </c>
      <c r="C115" t="s">
        <v>5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6</v>
      </c>
      <c r="K115" t="s">
        <v>5</v>
      </c>
      <c r="L115" t="s">
        <v>5</v>
      </c>
      <c r="M115" t="s">
        <v>5</v>
      </c>
      <c r="N115" t="s">
        <v>6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t="s">
        <v>6</v>
      </c>
      <c r="AD115" t="s">
        <v>6</v>
      </c>
      <c r="AE115">
        <v>1485</v>
      </c>
      <c r="AF115" t="s">
        <v>6</v>
      </c>
    </row>
    <row r="116" spans="1:32" x14ac:dyDescent="0.25">
      <c r="A116">
        <v>114</v>
      </c>
      <c r="B116" t="s">
        <v>5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>
        <v>1493</v>
      </c>
      <c r="AF116" t="s">
        <v>5</v>
      </c>
    </row>
    <row r="117" spans="1:32" x14ac:dyDescent="0.25">
      <c r="A117">
        <v>115</v>
      </c>
      <c r="B117" t="s">
        <v>5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>
        <v>1513</v>
      </c>
      <c r="AF117" t="s">
        <v>5</v>
      </c>
    </row>
    <row r="118" spans="1:32" x14ac:dyDescent="0.25">
      <c r="A118">
        <v>116</v>
      </c>
      <c r="B118" t="s">
        <v>4</v>
      </c>
      <c r="C118" t="s">
        <v>4</v>
      </c>
      <c r="D118" t="s">
        <v>4</v>
      </c>
      <c r="E118" t="s">
        <v>4</v>
      </c>
      <c r="F118" t="s">
        <v>4</v>
      </c>
      <c r="G118" t="s">
        <v>4</v>
      </c>
      <c r="H118" t="s">
        <v>4</v>
      </c>
      <c r="I118" t="s">
        <v>4</v>
      </c>
      <c r="J118" t="s">
        <v>4</v>
      </c>
      <c r="K118" t="s">
        <v>4</v>
      </c>
      <c r="L118" t="s">
        <v>4</v>
      </c>
      <c r="M118" t="s">
        <v>4</v>
      </c>
      <c r="N118" t="s">
        <v>4</v>
      </c>
      <c r="O118" t="s">
        <v>4</v>
      </c>
      <c r="P118" t="s">
        <v>4</v>
      </c>
      <c r="Q118" t="s">
        <v>4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>
        <v>1520</v>
      </c>
      <c r="AF118" t="s">
        <v>4</v>
      </c>
    </row>
    <row r="119" spans="1:32" x14ac:dyDescent="0.25">
      <c r="A119">
        <v>117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>
        <v>1547</v>
      </c>
      <c r="AF119" t="s">
        <v>4</v>
      </c>
    </row>
    <row r="120" spans="1:32" x14ac:dyDescent="0.25">
      <c r="A120">
        <v>118</v>
      </c>
      <c r="B120" t="s">
        <v>5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>
        <v>1550</v>
      </c>
      <c r="AF120" t="s">
        <v>5</v>
      </c>
    </row>
    <row r="121" spans="1:32" x14ac:dyDescent="0.25">
      <c r="A121">
        <v>119</v>
      </c>
      <c r="B121" t="s">
        <v>5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>
        <v>1554</v>
      </c>
      <c r="AF121" t="s">
        <v>5</v>
      </c>
    </row>
    <row r="122" spans="1:32" x14ac:dyDescent="0.25">
      <c r="A122">
        <v>120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>
        <v>1589</v>
      </c>
      <c r="AF122" t="s">
        <v>4</v>
      </c>
    </row>
    <row r="123" spans="1:32" x14ac:dyDescent="0.25">
      <c r="A123">
        <v>121</v>
      </c>
      <c r="B123" t="s">
        <v>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>
        <v>1595</v>
      </c>
      <c r="AF123" t="s">
        <v>5</v>
      </c>
    </row>
    <row r="124" spans="1:32" x14ac:dyDescent="0.25">
      <c r="A124">
        <v>122</v>
      </c>
      <c r="B124" t="s">
        <v>4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  <c r="I124" t="s">
        <v>4</v>
      </c>
      <c r="J124" t="s">
        <v>4</v>
      </c>
      <c r="K124" t="s">
        <v>4</v>
      </c>
      <c r="L124" t="s">
        <v>4</v>
      </c>
      <c r="M124" t="s">
        <v>4</v>
      </c>
      <c r="N124" t="s">
        <v>4</v>
      </c>
      <c r="O124" t="s">
        <v>4</v>
      </c>
      <c r="P124" t="s">
        <v>4</v>
      </c>
      <c r="Q124" t="s">
        <v>4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>
        <v>1600</v>
      </c>
      <c r="AF124" t="s">
        <v>6</v>
      </c>
    </row>
    <row r="125" spans="1:32" x14ac:dyDescent="0.25">
      <c r="A125">
        <v>123</v>
      </c>
      <c r="B125" t="s">
        <v>4</v>
      </c>
      <c r="C125" t="s">
        <v>4</v>
      </c>
      <c r="D125" t="s">
        <v>4</v>
      </c>
      <c r="E125" t="s">
        <v>6</v>
      </c>
      <c r="F125" t="s">
        <v>6</v>
      </c>
      <c r="G125" t="s">
        <v>5</v>
      </c>
      <c r="H125" t="s">
        <v>5</v>
      </c>
      <c r="I125" t="s">
        <v>5</v>
      </c>
      <c r="J125" t="s">
        <v>4</v>
      </c>
      <c r="K125" t="s">
        <v>4</v>
      </c>
      <c r="L125" t="s">
        <v>4</v>
      </c>
      <c r="M125" t="s">
        <v>4</v>
      </c>
      <c r="N125" t="s">
        <v>4</v>
      </c>
      <c r="O125" t="s">
        <v>4</v>
      </c>
      <c r="P125" t="s">
        <v>4</v>
      </c>
      <c r="Q125" t="s">
        <v>4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>
        <v>1617</v>
      </c>
      <c r="AF125" t="s">
        <v>4</v>
      </c>
    </row>
    <row r="126" spans="1:32" x14ac:dyDescent="0.25">
      <c r="A126">
        <v>124</v>
      </c>
      <c r="B126" t="s">
        <v>5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>
        <v>1619</v>
      </c>
      <c r="AF126" t="s">
        <v>5</v>
      </c>
    </row>
    <row r="127" spans="1:32" x14ac:dyDescent="0.25">
      <c r="A127">
        <v>125</v>
      </c>
      <c r="B127" t="s">
        <v>5</v>
      </c>
      <c r="C127" t="s">
        <v>5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5</v>
      </c>
      <c r="Q127" t="s">
        <v>6</v>
      </c>
      <c r="R127" t="s">
        <v>5</v>
      </c>
      <c r="S127" t="s">
        <v>5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>
        <v>1662</v>
      </c>
      <c r="AF127" t="s">
        <v>4</v>
      </c>
    </row>
    <row r="128" spans="1:32" x14ac:dyDescent="0.25">
      <c r="A128">
        <v>126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>
        <v>1663</v>
      </c>
      <c r="AF128" t="s">
        <v>4</v>
      </c>
    </row>
    <row r="129" spans="1:32" x14ac:dyDescent="0.25">
      <c r="A129">
        <v>127</v>
      </c>
      <c r="B129" t="s">
        <v>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>
        <v>1665</v>
      </c>
      <c r="AF129" t="s">
        <v>5</v>
      </c>
    </row>
    <row r="130" spans="1:32" x14ac:dyDescent="0.25">
      <c r="A130">
        <v>128</v>
      </c>
      <c r="B130" t="s">
        <v>5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>
        <v>1672</v>
      </c>
      <c r="AF130" t="s">
        <v>5</v>
      </c>
    </row>
    <row r="131" spans="1:32" x14ac:dyDescent="0.25">
      <c r="A131">
        <v>129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>
        <v>1691</v>
      </c>
      <c r="AF131" t="s">
        <v>4</v>
      </c>
    </row>
    <row r="132" spans="1:32" x14ac:dyDescent="0.25">
      <c r="A132">
        <v>130</v>
      </c>
      <c r="B132" t="s">
        <v>5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>
        <v>1698</v>
      </c>
      <c r="AF132" t="s">
        <v>5</v>
      </c>
    </row>
    <row r="133" spans="1:32" x14ac:dyDescent="0.25">
      <c r="A133">
        <v>131</v>
      </c>
      <c r="B133" t="s">
        <v>4</v>
      </c>
      <c r="C133" t="s">
        <v>4</v>
      </c>
      <c r="D133" t="s">
        <v>4</v>
      </c>
      <c r="E133" t="s">
        <v>4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>
        <v>1718</v>
      </c>
      <c r="AF133" t="s">
        <v>4</v>
      </c>
    </row>
    <row r="134" spans="1:32" x14ac:dyDescent="0.25">
      <c r="A134">
        <v>132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>
        <v>1735</v>
      </c>
      <c r="AF134" t="s">
        <v>4</v>
      </c>
    </row>
    <row r="135" spans="1:32" x14ac:dyDescent="0.25">
      <c r="A135">
        <v>133</v>
      </c>
      <c r="B135" t="s">
        <v>5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>
        <v>1736</v>
      </c>
      <c r="AF135" t="s">
        <v>5</v>
      </c>
    </row>
    <row r="136" spans="1:32" x14ac:dyDescent="0.25">
      <c r="A136">
        <v>134</v>
      </c>
      <c r="B136" t="s">
        <v>4</v>
      </c>
      <c r="C136" t="s">
        <v>4</v>
      </c>
      <c r="D136" t="s">
        <v>4</v>
      </c>
      <c r="E136" t="s">
        <v>4</v>
      </c>
      <c r="F136" t="s">
        <v>5</v>
      </c>
      <c r="G136" t="s">
        <v>5</v>
      </c>
      <c r="H136" t="s">
        <v>5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>
        <v>1742</v>
      </c>
      <c r="AF136" t="s">
        <v>6</v>
      </c>
    </row>
    <row r="137" spans="1:32" x14ac:dyDescent="0.25">
      <c r="A137">
        <v>135</v>
      </c>
      <c r="B137" t="s">
        <v>5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>
        <v>1749</v>
      </c>
      <c r="AF137" t="s">
        <v>5</v>
      </c>
    </row>
    <row r="138" spans="1:32" x14ac:dyDescent="0.25">
      <c r="A138">
        <v>136</v>
      </c>
      <c r="B138" t="s">
        <v>5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4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>
        <v>1766</v>
      </c>
      <c r="AF138" t="s">
        <v>5</v>
      </c>
    </row>
    <row r="139" spans="1:32" x14ac:dyDescent="0.25">
      <c r="A139">
        <v>137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>
        <v>1772</v>
      </c>
      <c r="AF139" t="s">
        <v>4</v>
      </c>
    </row>
    <row r="140" spans="1:32" x14ac:dyDescent="0.25">
      <c r="A140">
        <v>138</v>
      </c>
      <c r="B140" t="s">
        <v>5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>
        <v>1777</v>
      </c>
      <c r="AF140" t="s">
        <v>5</v>
      </c>
    </row>
    <row r="141" spans="1:32" x14ac:dyDescent="0.25">
      <c r="A141">
        <v>139</v>
      </c>
      <c r="B141" t="s">
        <v>4</v>
      </c>
      <c r="C141" t="s">
        <v>4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>
        <v>1779</v>
      </c>
      <c r="AF141" t="s">
        <v>6</v>
      </c>
    </row>
    <row r="142" spans="1:32" x14ac:dyDescent="0.25">
      <c r="A142">
        <v>140</v>
      </c>
      <c r="B142" t="s">
        <v>5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>
        <v>1799</v>
      </c>
      <c r="AF142" t="s">
        <v>5</v>
      </c>
    </row>
    <row r="143" spans="1:32" x14ac:dyDescent="0.25">
      <c r="A143">
        <v>141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>
        <v>1802</v>
      </c>
      <c r="AF143" t="s">
        <v>4</v>
      </c>
    </row>
    <row r="144" spans="1:32" x14ac:dyDescent="0.25">
      <c r="A144">
        <v>142</v>
      </c>
      <c r="B144" t="s">
        <v>5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>
        <v>1808</v>
      </c>
      <c r="AF144" t="s">
        <v>5</v>
      </c>
    </row>
    <row r="145" spans="1:32" x14ac:dyDescent="0.25">
      <c r="A145">
        <v>143</v>
      </c>
      <c r="B145" t="s">
        <v>4</v>
      </c>
      <c r="C145" t="s">
        <v>4</v>
      </c>
      <c r="D145" t="s">
        <v>4</v>
      </c>
      <c r="E145" t="s">
        <v>4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>
        <v>1828</v>
      </c>
      <c r="AF145" t="s">
        <v>4</v>
      </c>
    </row>
    <row r="146" spans="1:32" x14ac:dyDescent="0.25">
      <c r="A146">
        <v>144</v>
      </c>
      <c r="B146" t="s">
        <v>5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>
        <v>1829</v>
      </c>
      <c r="AF146" t="s">
        <v>5</v>
      </c>
    </row>
    <row r="147" spans="1:32" x14ac:dyDescent="0.25">
      <c r="A147">
        <v>145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>
        <v>1843</v>
      </c>
      <c r="AF147" t="s">
        <v>4</v>
      </c>
    </row>
    <row r="148" spans="1:32" x14ac:dyDescent="0.25">
      <c r="A148">
        <v>146</v>
      </c>
      <c r="B148" t="s">
        <v>5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>
        <v>1846</v>
      </c>
      <c r="AF148" t="s">
        <v>5</v>
      </c>
    </row>
    <row r="149" spans="1:32" x14ac:dyDescent="0.25">
      <c r="A149">
        <v>147</v>
      </c>
      <c r="B149" t="s">
        <v>5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>
        <v>1862</v>
      </c>
      <c r="AF149" t="s">
        <v>5</v>
      </c>
    </row>
    <row r="150" spans="1:32" x14ac:dyDescent="0.25">
      <c r="A150">
        <v>148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>
        <v>1876</v>
      </c>
      <c r="AF150" t="s">
        <v>4</v>
      </c>
    </row>
    <row r="151" spans="1:32" x14ac:dyDescent="0.25">
      <c r="A151">
        <v>149</v>
      </c>
      <c r="B151" t="s">
        <v>5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>
        <v>1890</v>
      </c>
      <c r="AF151" t="s">
        <v>5</v>
      </c>
    </row>
    <row r="152" spans="1:32" x14ac:dyDescent="0.25">
      <c r="A152">
        <v>150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>
        <v>1893</v>
      </c>
      <c r="AF152" t="s">
        <v>4</v>
      </c>
    </row>
    <row r="153" spans="1:32" x14ac:dyDescent="0.25">
      <c r="A153">
        <v>151</v>
      </c>
      <c r="B153" t="s">
        <v>5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>
        <v>1911</v>
      </c>
      <c r="AF153" t="s">
        <v>5</v>
      </c>
    </row>
    <row r="154" spans="1:32" x14ac:dyDescent="0.25">
      <c r="A154">
        <v>152</v>
      </c>
      <c r="B154" t="s">
        <v>5</v>
      </c>
      <c r="C154" t="s">
        <v>5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>
        <v>1918</v>
      </c>
      <c r="AF154" t="s">
        <v>6</v>
      </c>
    </row>
    <row r="155" spans="1:32" x14ac:dyDescent="0.25">
      <c r="A155">
        <v>153</v>
      </c>
      <c r="B155" t="s">
        <v>4</v>
      </c>
      <c r="C155" t="s">
        <v>4</v>
      </c>
      <c r="D155" t="s">
        <v>4</v>
      </c>
      <c r="E155" t="s">
        <v>4</v>
      </c>
      <c r="F155" t="s">
        <v>4</v>
      </c>
      <c r="G155" t="s">
        <v>4</v>
      </c>
      <c r="H155" t="s">
        <v>4</v>
      </c>
      <c r="I155" t="s">
        <v>4</v>
      </c>
      <c r="J155" t="s">
        <v>4</v>
      </c>
      <c r="K155" t="s">
        <v>4</v>
      </c>
      <c r="L155" t="s">
        <v>4</v>
      </c>
      <c r="M155" t="s">
        <v>4</v>
      </c>
      <c r="N155" t="s">
        <v>4</v>
      </c>
      <c r="O155" t="s">
        <v>4</v>
      </c>
      <c r="P155" t="s">
        <v>4</v>
      </c>
      <c r="Q155" t="s">
        <v>4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4</v>
      </c>
      <c r="AE155">
        <v>1934</v>
      </c>
      <c r="AF155" t="s">
        <v>4</v>
      </c>
    </row>
    <row r="156" spans="1:32" x14ac:dyDescent="0.25">
      <c r="A156">
        <v>154</v>
      </c>
      <c r="B156" t="s">
        <v>5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>
        <v>1937</v>
      </c>
      <c r="AF156" t="s">
        <v>5</v>
      </c>
    </row>
    <row r="157" spans="1:32" x14ac:dyDescent="0.25">
      <c r="A157">
        <v>155</v>
      </c>
      <c r="B157" t="s">
        <v>4</v>
      </c>
      <c r="C157" t="s">
        <v>4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>
        <v>1940</v>
      </c>
      <c r="AF157" t="s">
        <v>6</v>
      </c>
    </row>
    <row r="158" spans="1:32" x14ac:dyDescent="0.25">
      <c r="A158">
        <v>156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>
        <v>1960</v>
      </c>
      <c r="AF158" t="s">
        <v>4</v>
      </c>
    </row>
    <row r="159" spans="1:32" x14ac:dyDescent="0.25">
      <c r="A159">
        <v>157</v>
      </c>
      <c r="B159" t="s">
        <v>5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>
        <v>1967</v>
      </c>
      <c r="AF159" t="s">
        <v>5</v>
      </c>
    </row>
    <row r="160" spans="1:32" x14ac:dyDescent="0.25">
      <c r="A160">
        <v>158</v>
      </c>
      <c r="B160" t="s">
        <v>4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 t="s">
        <v>4</v>
      </c>
      <c r="L160" t="s">
        <v>4</v>
      </c>
      <c r="M160" t="s">
        <v>4</v>
      </c>
      <c r="N160" t="s">
        <v>4</v>
      </c>
      <c r="O160" t="s">
        <v>4</v>
      </c>
      <c r="P160" t="s">
        <v>4</v>
      </c>
      <c r="Q160" t="s">
        <v>4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D160" t="s">
        <v>4</v>
      </c>
      <c r="AE160">
        <v>1979</v>
      </c>
      <c r="AF160" t="s">
        <v>4</v>
      </c>
    </row>
    <row r="161" spans="1:32" x14ac:dyDescent="0.25">
      <c r="A161">
        <v>159</v>
      </c>
      <c r="B161" t="s">
        <v>4</v>
      </c>
      <c r="C161" t="s">
        <v>4</v>
      </c>
      <c r="D161" t="s">
        <v>4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4</v>
      </c>
      <c r="M161" t="s">
        <v>4</v>
      </c>
      <c r="N161" t="s">
        <v>4</v>
      </c>
      <c r="O161" t="s">
        <v>4</v>
      </c>
      <c r="P161" t="s">
        <v>4</v>
      </c>
      <c r="Q161" t="s">
        <v>4</v>
      </c>
      <c r="R161" t="s">
        <v>4</v>
      </c>
      <c r="S161" t="s">
        <v>4</v>
      </c>
      <c r="T161" t="s">
        <v>4</v>
      </c>
      <c r="U161" t="s">
        <v>4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>
        <v>1983</v>
      </c>
      <c r="AF161" t="s">
        <v>5</v>
      </c>
    </row>
    <row r="162" spans="1:32" x14ac:dyDescent="0.25">
      <c r="A162">
        <v>160</v>
      </c>
      <c r="B162" t="s">
        <v>5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>
        <v>2009</v>
      </c>
      <c r="AF162" t="s">
        <v>5</v>
      </c>
    </row>
    <row r="163" spans="1:32" x14ac:dyDescent="0.25">
      <c r="A163">
        <v>161</v>
      </c>
      <c r="B163" t="s">
        <v>4</v>
      </c>
      <c r="C163" t="s">
        <v>4</v>
      </c>
      <c r="D163" t="s">
        <v>4</v>
      </c>
      <c r="E163" t="s">
        <v>4</v>
      </c>
      <c r="F163" t="s">
        <v>4</v>
      </c>
      <c r="G163" t="s">
        <v>4</v>
      </c>
      <c r="H163" t="s">
        <v>4</v>
      </c>
      <c r="I163" t="s">
        <v>4</v>
      </c>
      <c r="J163" t="s">
        <v>5</v>
      </c>
      <c r="K163" t="s">
        <v>5</v>
      </c>
      <c r="L163" t="s">
        <v>6</v>
      </c>
      <c r="M163" t="s">
        <v>6</v>
      </c>
      <c r="N163" t="s">
        <v>6</v>
      </c>
      <c r="O163" t="s">
        <v>6</v>
      </c>
      <c r="P163" t="s">
        <v>6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6</v>
      </c>
      <c r="AC163" t="s">
        <v>6</v>
      </c>
      <c r="AD163" t="s">
        <v>6</v>
      </c>
      <c r="AE163">
        <v>2016</v>
      </c>
      <c r="AF163" t="s">
        <v>6</v>
      </c>
    </row>
    <row r="164" spans="1:32" x14ac:dyDescent="0.25">
      <c r="A164">
        <v>162</v>
      </c>
      <c r="B164" t="s">
        <v>5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>
        <v>2018</v>
      </c>
      <c r="AF164" t="s">
        <v>5</v>
      </c>
    </row>
    <row r="165" spans="1:32" x14ac:dyDescent="0.25">
      <c r="A165">
        <v>163</v>
      </c>
      <c r="B165" t="s">
        <v>4</v>
      </c>
      <c r="C165" t="s">
        <v>4</v>
      </c>
      <c r="D165" t="s">
        <v>4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 t="s">
        <v>4</v>
      </c>
      <c r="L165" t="s">
        <v>4</v>
      </c>
      <c r="M165" t="s">
        <v>4</v>
      </c>
      <c r="N165" t="s">
        <v>4</v>
      </c>
      <c r="O165" t="s">
        <v>4</v>
      </c>
      <c r="P165" t="s">
        <v>4</v>
      </c>
      <c r="Q165" t="s">
        <v>4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t="s">
        <v>4</v>
      </c>
      <c r="AC165" t="s">
        <v>4</v>
      </c>
      <c r="AD165" t="s">
        <v>4</v>
      </c>
      <c r="AE165">
        <v>2024</v>
      </c>
      <c r="AF165" t="s">
        <v>4</v>
      </c>
    </row>
    <row r="166" spans="1:32" x14ac:dyDescent="0.25">
      <c r="A166">
        <v>164</v>
      </c>
      <c r="B166" t="s">
        <v>5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>
        <v>2032</v>
      </c>
      <c r="AF166" t="s">
        <v>5</v>
      </c>
    </row>
    <row r="167" spans="1:32" x14ac:dyDescent="0.25">
      <c r="A167">
        <v>165</v>
      </c>
      <c r="B167" t="s">
        <v>5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>
        <v>2043</v>
      </c>
      <c r="AF167" t="s">
        <v>5</v>
      </c>
    </row>
    <row r="168" spans="1:32" x14ac:dyDescent="0.25">
      <c r="A168">
        <v>166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6</v>
      </c>
      <c r="M168" t="s">
        <v>6</v>
      </c>
      <c r="N168" t="s">
        <v>6</v>
      </c>
      <c r="O168" t="s">
        <v>6</v>
      </c>
      <c r="P168" t="s">
        <v>6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6</v>
      </c>
      <c r="AC168" t="s">
        <v>6</v>
      </c>
      <c r="AD168" t="s">
        <v>6</v>
      </c>
      <c r="AE168">
        <v>2055</v>
      </c>
      <c r="AF168" t="s">
        <v>5</v>
      </c>
    </row>
    <row r="169" spans="1:32" x14ac:dyDescent="0.25">
      <c r="A169">
        <v>167</v>
      </c>
      <c r="B169" t="s">
        <v>4</v>
      </c>
      <c r="C169" t="s">
        <v>4</v>
      </c>
      <c r="D169" t="s">
        <v>4</v>
      </c>
      <c r="E169" t="s">
        <v>4</v>
      </c>
      <c r="F169" t="s">
        <v>4</v>
      </c>
      <c r="G169" t="s">
        <v>4</v>
      </c>
      <c r="H169" t="s">
        <v>4</v>
      </c>
      <c r="I169" t="s">
        <v>4</v>
      </c>
      <c r="J169" t="s">
        <v>4</v>
      </c>
      <c r="K169" t="s">
        <v>4</v>
      </c>
      <c r="L169" t="s">
        <v>4</v>
      </c>
      <c r="M169" t="s">
        <v>4</v>
      </c>
      <c r="N169" t="s">
        <v>4</v>
      </c>
      <c r="O169" t="s">
        <v>4</v>
      </c>
      <c r="P169" t="s">
        <v>4</v>
      </c>
      <c r="Q169" t="s">
        <v>4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t="s">
        <v>4</v>
      </c>
      <c r="AC169" t="s">
        <v>4</v>
      </c>
      <c r="AD169" t="s">
        <v>4</v>
      </c>
      <c r="AE169">
        <v>2057</v>
      </c>
      <c r="AF169" t="s">
        <v>4</v>
      </c>
    </row>
    <row r="170" spans="1:32" x14ac:dyDescent="0.25">
      <c r="A170">
        <v>168</v>
      </c>
      <c r="B170" t="s">
        <v>5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>
        <v>2064</v>
      </c>
      <c r="AF170" t="s">
        <v>5</v>
      </c>
    </row>
    <row r="171" spans="1:32" x14ac:dyDescent="0.25">
      <c r="A171">
        <v>169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  <c r="H171" t="s">
        <v>4</v>
      </c>
      <c r="I171" t="s">
        <v>4</v>
      </c>
      <c r="J171" t="s">
        <v>4</v>
      </c>
      <c r="K171" t="s">
        <v>4</v>
      </c>
      <c r="L171" t="s">
        <v>4</v>
      </c>
      <c r="M171" t="s">
        <v>4</v>
      </c>
      <c r="N171" t="s">
        <v>4</v>
      </c>
      <c r="O171" t="s">
        <v>4</v>
      </c>
      <c r="P171" t="s">
        <v>4</v>
      </c>
      <c r="Q171" t="s">
        <v>4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D171" t="s">
        <v>4</v>
      </c>
      <c r="AE171">
        <v>2073</v>
      </c>
      <c r="AF171" t="s">
        <v>4</v>
      </c>
    </row>
    <row r="172" spans="1:32" x14ac:dyDescent="0.25">
      <c r="A172">
        <v>170</v>
      </c>
      <c r="B172" t="s">
        <v>4</v>
      </c>
      <c r="C172" t="s">
        <v>4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  <c r="I172" t="s">
        <v>4</v>
      </c>
      <c r="J172" t="s">
        <v>5</v>
      </c>
      <c r="K172" t="s">
        <v>5</v>
      </c>
      <c r="L172" t="s">
        <v>4</v>
      </c>
      <c r="M172" t="s">
        <v>4</v>
      </c>
      <c r="N172" t="s">
        <v>4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>
        <v>2093</v>
      </c>
      <c r="AF172" t="s">
        <v>5</v>
      </c>
    </row>
    <row r="173" spans="1:32" x14ac:dyDescent="0.25">
      <c r="A173">
        <v>171</v>
      </c>
      <c r="B173" t="s">
        <v>4</v>
      </c>
      <c r="C173" t="s">
        <v>4</v>
      </c>
      <c r="D173" t="s">
        <v>4</v>
      </c>
      <c r="E173" t="s">
        <v>4</v>
      </c>
      <c r="F173" t="s">
        <v>6</v>
      </c>
      <c r="G173" t="s">
        <v>6</v>
      </c>
      <c r="H173" t="s">
        <v>6</v>
      </c>
      <c r="I173" t="s">
        <v>6</v>
      </c>
      <c r="J173" t="s">
        <v>6</v>
      </c>
      <c r="K173" t="s">
        <v>4</v>
      </c>
      <c r="L173" t="s">
        <v>4</v>
      </c>
      <c r="M173" t="s">
        <v>4</v>
      </c>
      <c r="N173" t="s">
        <v>4</v>
      </c>
      <c r="O173" t="s">
        <v>4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>
        <v>2104</v>
      </c>
      <c r="AF173" t="s">
        <v>6</v>
      </c>
    </row>
    <row r="174" spans="1:32" x14ac:dyDescent="0.25">
      <c r="A174">
        <v>172</v>
      </c>
      <c r="B174" t="s">
        <v>5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>
        <v>2109</v>
      </c>
      <c r="AF174" t="s">
        <v>5</v>
      </c>
    </row>
    <row r="175" spans="1:32" x14ac:dyDescent="0.25">
      <c r="A175">
        <v>173</v>
      </c>
      <c r="B175" t="s">
        <v>5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>
        <v>2116</v>
      </c>
      <c r="AF175" t="s">
        <v>5</v>
      </c>
    </row>
    <row r="176" spans="1:32" x14ac:dyDescent="0.25">
      <c r="A176">
        <v>174</v>
      </c>
      <c r="B176" t="s">
        <v>4</v>
      </c>
      <c r="C176" t="s">
        <v>4</v>
      </c>
      <c r="D176" t="s">
        <v>4</v>
      </c>
      <c r="E176" t="s">
        <v>4</v>
      </c>
      <c r="F176" t="s">
        <v>4</v>
      </c>
      <c r="G176" t="s">
        <v>4</v>
      </c>
      <c r="H176" t="s">
        <v>4</v>
      </c>
      <c r="I176" t="s">
        <v>4</v>
      </c>
      <c r="J176" t="s">
        <v>4</v>
      </c>
      <c r="K176" t="s">
        <v>4</v>
      </c>
      <c r="L176" t="s">
        <v>4</v>
      </c>
      <c r="M176" t="s">
        <v>4</v>
      </c>
      <c r="N176" t="s">
        <v>4</v>
      </c>
      <c r="O176" t="s">
        <v>4</v>
      </c>
      <c r="P176" t="s">
        <v>4</v>
      </c>
      <c r="Q176" t="s">
        <v>4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  <c r="W176" t="s">
        <v>4</v>
      </c>
      <c r="X176" t="s">
        <v>4</v>
      </c>
      <c r="Y176" t="s">
        <v>4</v>
      </c>
      <c r="Z176" t="s">
        <v>4</v>
      </c>
      <c r="AA176" t="s">
        <v>4</v>
      </c>
      <c r="AB176" t="s">
        <v>4</v>
      </c>
      <c r="AC176" t="s">
        <v>4</v>
      </c>
      <c r="AD176" t="s">
        <v>4</v>
      </c>
      <c r="AE176">
        <v>2118</v>
      </c>
      <c r="AF176" t="s">
        <v>4</v>
      </c>
    </row>
    <row r="177" spans="1:32" x14ac:dyDescent="0.25">
      <c r="A177">
        <v>175</v>
      </c>
      <c r="B177" t="s">
        <v>4</v>
      </c>
      <c r="C177" t="s">
        <v>4</v>
      </c>
      <c r="D177" t="s">
        <v>4</v>
      </c>
      <c r="E177" t="s">
        <v>4</v>
      </c>
      <c r="F177" t="s">
        <v>4</v>
      </c>
      <c r="G177" t="s">
        <v>4</v>
      </c>
      <c r="H177" t="s">
        <v>4</v>
      </c>
      <c r="I177" t="s">
        <v>4</v>
      </c>
      <c r="J177" t="s">
        <v>4</v>
      </c>
      <c r="K177" t="s">
        <v>4</v>
      </c>
      <c r="L177" t="s">
        <v>4</v>
      </c>
      <c r="M177" t="s">
        <v>4</v>
      </c>
      <c r="N177" t="s">
        <v>4</v>
      </c>
      <c r="O177" t="s">
        <v>4</v>
      </c>
      <c r="P177" t="s">
        <v>4</v>
      </c>
      <c r="Q177" t="s">
        <v>4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  <c r="W177" t="s">
        <v>4</v>
      </c>
      <c r="X177" t="s">
        <v>4</v>
      </c>
      <c r="Y177" t="s">
        <v>4</v>
      </c>
      <c r="Z177" t="s">
        <v>4</v>
      </c>
      <c r="AA177" t="s">
        <v>4</v>
      </c>
      <c r="AB177" t="s">
        <v>4</v>
      </c>
      <c r="AC177" t="s">
        <v>4</v>
      </c>
      <c r="AD177" t="s">
        <v>4</v>
      </c>
      <c r="AE177">
        <v>2140</v>
      </c>
      <c r="AF177" t="s">
        <v>4</v>
      </c>
    </row>
    <row r="178" spans="1:32" x14ac:dyDescent="0.25">
      <c r="A178">
        <v>176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t="s">
        <v>4</v>
      </c>
      <c r="AC178" t="s">
        <v>5</v>
      </c>
      <c r="AD178" t="s">
        <v>5</v>
      </c>
      <c r="AE178">
        <v>2147</v>
      </c>
      <c r="AF178" t="s">
        <v>6</v>
      </c>
    </row>
    <row r="179" spans="1:32" x14ac:dyDescent="0.25">
      <c r="A179">
        <v>177</v>
      </c>
      <c r="B179" t="s">
        <v>5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>
        <v>2149</v>
      </c>
      <c r="AF179" t="s">
        <v>5</v>
      </c>
    </row>
    <row r="180" spans="1:32" x14ac:dyDescent="0.25">
      <c r="A180">
        <v>178</v>
      </c>
      <c r="B180" t="s">
        <v>5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>
        <v>2160</v>
      </c>
      <c r="AF180" t="s">
        <v>5</v>
      </c>
    </row>
    <row r="181" spans="1:32" x14ac:dyDescent="0.25">
      <c r="A181">
        <v>179</v>
      </c>
      <c r="B181" t="s">
        <v>5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>
        <v>2172</v>
      </c>
      <c r="AF181" t="s">
        <v>5</v>
      </c>
    </row>
    <row r="182" spans="1:32" x14ac:dyDescent="0.25">
      <c r="A182">
        <v>180</v>
      </c>
      <c r="B182" t="s">
        <v>4</v>
      </c>
      <c r="C182" t="s">
        <v>4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 t="s">
        <v>4</v>
      </c>
      <c r="N182" t="s">
        <v>4</v>
      </c>
      <c r="O182" t="s">
        <v>4</v>
      </c>
      <c r="P182" t="s">
        <v>4</v>
      </c>
      <c r="Q182" t="s">
        <v>4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t="s">
        <v>4</v>
      </c>
      <c r="AC182" t="s">
        <v>4</v>
      </c>
      <c r="AD182" t="s">
        <v>4</v>
      </c>
      <c r="AE182">
        <v>2175</v>
      </c>
      <c r="AF182" t="s">
        <v>4</v>
      </c>
    </row>
    <row r="183" spans="1:32" x14ac:dyDescent="0.25">
      <c r="A183">
        <v>181</v>
      </c>
      <c r="B183" t="s">
        <v>5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>
        <v>2184</v>
      </c>
      <c r="AF183" t="s">
        <v>5</v>
      </c>
    </row>
    <row r="184" spans="1:32" x14ac:dyDescent="0.25">
      <c r="A184">
        <v>182</v>
      </c>
      <c r="B184" t="s">
        <v>5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6</v>
      </c>
      <c r="AD184" t="s">
        <v>5</v>
      </c>
      <c r="AE184">
        <v>2198</v>
      </c>
      <c r="AF184" t="s">
        <v>5</v>
      </c>
    </row>
    <row r="185" spans="1:32" x14ac:dyDescent="0.25">
      <c r="A185">
        <v>183</v>
      </c>
      <c r="B185" t="s">
        <v>5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>
        <v>2214</v>
      </c>
      <c r="AF185" t="s">
        <v>5</v>
      </c>
    </row>
    <row r="186" spans="1:32" x14ac:dyDescent="0.25">
      <c r="A186">
        <v>184</v>
      </c>
      <c r="B186" t="s">
        <v>4</v>
      </c>
      <c r="C186" t="s">
        <v>4</v>
      </c>
      <c r="D186" t="s">
        <v>4</v>
      </c>
      <c r="E186" t="s">
        <v>4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t="s">
        <v>6</v>
      </c>
      <c r="P186" t="s">
        <v>6</v>
      </c>
      <c r="Q186" t="s">
        <v>6</v>
      </c>
      <c r="R186" t="s">
        <v>6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4</v>
      </c>
      <c r="AA186" t="s">
        <v>4</v>
      </c>
      <c r="AB186" t="s">
        <v>4</v>
      </c>
      <c r="AC186" t="s">
        <v>4</v>
      </c>
      <c r="AD186" t="s">
        <v>4</v>
      </c>
      <c r="AE186">
        <v>2215</v>
      </c>
      <c r="AF186" t="s">
        <v>6</v>
      </c>
    </row>
    <row r="187" spans="1:32" x14ac:dyDescent="0.25">
      <c r="A187">
        <v>185</v>
      </c>
      <c r="B187" t="s">
        <v>4</v>
      </c>
      <c r="C187" t="s">
        <v>4</v>
      </c>
      <c r="D187" t="s">
        <v>5</v>
      </c>
      <c r="E187" t="s">
        <v>5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>
        <v>2225</v>
      </c>
      <c r="AF187" t="s">
        <v>4</v>
      </c>
    </row>
    <row r="188" spans="1:32" x14ac:dyDescent="0.25">
      <c r="A188">
        <v>186</v>
      </c>
      <c r="B188" t="s">
        <v>5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>
        <v>2230</v>
      </c>
      <c r="AF188" t="s">
        <v>5</v>
      </c>
    </row>
    <row r="189" spans="1:32" x14ac:dyDescent="0.25">
      <c r="A189">
        <v>187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>
        <v>2248</v>
      </c>
      <c r="AF189" t="s">
        <v>5</v>
      </c>
    </row>
    <row r="190" spans="1:32" x14ac:dyDescent="0.25">
      <c r="A190">
        <v>188</v>
      </c>
      <c r="B190" t="s">
        <v>5</v>
      </c>
      <c r="C190" t="s">
        <v>5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4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>
        <v>2266</v>
      </c>
      <c r="AF190" t="s">
        <v>4</v>
      </c>
    </row>
    <row r="191" spans="1:32" x14ac:dyDescent="0.25">
      <c r="A191">
        <v>189</v>
      </c>
      <c r="B191" t="s">
        <v>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>
        <v>2275</v>
      </c>
      <c r="AF191" t="s">
        <v>5</v>
      </c>
    </row>
    <row r="192" spans="1:32" x14ac:dyDescent="0.25">
      <c r="A192">
        <v>190</v>
      </c>
      <c r="B192" t="s">
        <v>5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>
        <v>2293</v>
      </c>
      <c r="AF192" t="s">
        <v>5</v>
      </c>
    </row>
    <row r="193" spans="1:32" x14ac:dyDescent="0.25">
      <c r="A193">
        <v>191</v>
      </c>
      <c r="B193" t="s">
        <v>4</v>
      </c>
      <c r="C193" t="s">
        <v>4</v>
      </c>
      <c r="D193" t="s">
        <v>4</v>
      </c>
      <c r="E193" t="s">
        <v>6</v>
      </c>
      <c r="F193" t="s">
        <v>6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>
        <v>2301</v>
      </c>
      <c r="AF193" t="s">
        <v>6</v>
      </c>
    </row>
    <row r="194" spans="1:32" x14ac:dyDescent="0.25">
      <c r="A194">
        <v>192</v>
      </c>
      <c r="B194" t="s">
        <v>4</v>
      </c>
      <c r="C194" t="s">
        <v>4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 t="s">
        <v>4</v>
      </c>
      <c r="J194" t="s">
        <v>4</v>
      </c>
      <c r="K194" t="s">
        <v>4</v>
      </c>
      <c r="L194" t="s">
        <v>4</v>
      </c>
      <c r="M194" t="s">
        <v>4</v>
      </c>
      <c r="N194" t="s">
        <v>4</v>
      </c>
      <c r="O194" t="s">
        <v>4</v>
      </c>
      <c r="P194" t="s">
        <v>4</v>
      </c>
      <c r="Q194" t="s">
        <v>4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>
        <v>2305</v>
      </c>
      <c r="AF194" t="s">
        <v>4</v>
      </c>
    </row>
    <row r="195" spans="1:32" x14ac:dyDescent="0.25">
      <c r="A195">
        <v>193</v>
      </c>
      <c r="B195" t="s">
        <v>5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>
        <v>2321</v>
      </c>
      <c r="AF195" t="s">
        <v>5</v>
      </c>
    </row>
    <row r="196" spans="1:32" x14ac:dyDescent="0.25">
      <c r="A196">
        <v>194</v>
      </c>
      <c r="B196" t="s">
        <v>5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>
        <v>2343</v>
      </c>
      <c r="AF196" t="s">
        <v>5</v>
      </c>
    </row>
    <row r="197" spans="1:32" x14ac:dyDescent="0.25">
      <c r="A197">
        <v>195</v>
      </c>
      <c r="B197" t="s">
        <v>4</v>
      </c>
      <c r="C197" t="s">
        <v>4</v>
      </c>
      <c r="D197" t="s">
        <v>4</v>
      </c>
      <c r="E197" t="s">
        <v>4</v>
      </c>
      <c r="F197" t="s">
        <v>5</v>
      </c>
      <c r="G197" t="s">
        <v>4</v>
      </c>
      <c r="H197" t="s">
        <v>4</v>
      </c>
      <c r="I197" t="s">
        <v>5</v>
      </c>
      <c r="J197" t="s">
        <v>5</v>
      </c>
      <c r="K197" t="s">
        <v>5</v>
      </c>
      <c r="L197" t="s">
        <v>4</v>
      </c>
      <c r="M197" t="s">
        <v>4</v>
      </c>
      <c r="N197" t="s">
        <v>4</v>
      </c>
      <c r="O197" t="s">
        <v>4</v>
      </c>
      <c r="P197" t="s">
        <v>5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4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4</v>
      </c>
      <c r="AC197" t="s">
        <v>4</v>
      </c>
      <c r="AD197" t="s">
        <v>4</v>
      </c>
      <c r="AE197">
        <v>2346</v>
      </c>
      <c r="AF197" t="s">
        <v>6</v>
      </c>
    </row>
    <row r="198" spans="1:32" x14ac:dyDescent="0.25">
      <c r="A198">
        <v>196</v>
      </c>
      <c r="B198" t="s">
        <v>5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>
        <v>2351</v>
      </c>
      <c r="AF198" t="s">
        <v>5</v>
      </c>
    </row>
    <row r="199" spans="1:32" x14ac:dyDescent="0.25">
      <c r="A199">
        <v>197</v>
      </c>
      <c r="B199" t="s">
        <v>4</v>
      </c>
      <c r="C199" t="s">
        <v>4</v>
      </c>
      <c r="D199" t="s">
        <v>4</v>
      </c>
      <c r="E199" t="s">
        <v>4</v>
      </c>
      <c r="F199" t="s">
        <v>4</v>
      </c>
      <c r="G199" t="s">
        <v>4</v>
      </c>
      <c r="H199" t="s">
        <v>4</v>
      </c>
      <c r="I199" t="s">
        <v>4</v>
      </c>
      <c r="J199" t="s">
        <v>4</v>
      </c>
      <c r="K199" t="s">
        <v>4</v>
      </c>
      <c r="L199" t="s">
        <v>4</v>
      </c>
      <c r="M199" t="s">
        <v>4</v>
      </c>
      <c r="N199" t="s">
        <v>4</v>
      </c>
      <c r="O199" t="s">
        <v>4</v>
      </c>
      <c r="P199" t="s">
        <v>4</v>
      </c>
      <c r="Q199" t="s">
        <v>4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4</v>
      </c>
      <c r="AC199" t="s">
        <v>4</v>
      </c>
      <c r="AD199" t="s">
        <v>4</v>
      </c>
      <c r="AE199">
        <v>2354</v>
      </c>
      <c r="AF199" t="s">
        <v>4</v>
      </c>
    </row>
    <row r="200" spans="1:32" x14ac:dyDescent="0.25">
      <c r="A200">
        <v>198</v>
      </c>
      <c r="B200" t="s">
        <v>5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>
        <v>2364</v>
      </c>
      <c r="AF200" t="s">
        <v>5</v>
      </c>
    </row>
    <row r="201" spans="1:32" x14ac:dyDescent="0.25">
      <c r="A201">
        <v>199</v>
      </c>
      <c r="B201" t="s">
        <v>4</v>
      </c>
      <c r="C201" t="s">
        <v>4</v>
      </c>
      <c r="D201" t="s">
        <v>4</v>
      </c>
      <c r="E201" t="s">
        <v>5</v>
      </c>
      <c r="F201" t="s">
        <v>4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5</v>
      </c>
      <c r="Q201" t="s">
        <v>5</v>
      </c>
      <c r="R201" t="s">
        <v>5</v>
      </c>
      <c r="S201" t="s">
        <v>5</v>
      </c>
      <c r="T201" t="s">
        <v>5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t="s">
        <v>4</v>
      </c>
      <c r="AC201" t="s">
        <v>4</v>
      </c>
      <c r="AD201" t="s">
        <v>4</v>
      </c>
      <c r="AE201">
        <v>2365</v>
      </c>
      <c r="AF2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Soc-Pass_rn</vt:lpstr>
      <vt:lpstr>Soc-Fail_rn</vt:lpstr>
      <vt:lpstr>Soc-Dropout_rn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2024-07-31T09:31:50Z</dcterms:modified>
</cp:coreProperties>
</file>