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act\"/>
    </mc:Choice>
  </mc:AlternateContent>
  <xr:revisionPtr revIDLastSave="0" documentId="13_ncr:1_{83FFB0A8-90D4-4AD3-A2F0-FA6F05E06E03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Act-Pass_rf" sheetId="1" r:id="rId1"/>
    <sheet name="Act-Dropout_rf" sheetId="4" r:id="rId2"/>
    <sheet name="Act-Fail_rf" sheetId="5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12" i="5" s="1"/>
  <c r="C5" i="5"/>
  <c r="C6" i="5" s="1"/>
  <c r="C7" i="5" s="1"/>
  <c r="C8" i="5" s="1"/>
  <c r="D5" i="5"/>
  <c r="E5" i="5"/>
  <c r="F5" i="5"/>
  <c r="F12" i="5" s="1"/>
  <c r="G5" i="5"/>
  <c r="G12" i="5" s="1"/>
  <c r="P12" i="5"/>
  <c r="E12" i="5"/>
  <c r="AD10" i="5"/>
  <c r="AD11" i="5" s="1"/>
  <c r="AC10" i="5"/>
  <c r="AC11" i="5" s="1"/>
  <c r="AB10" i="5"/>
  <c r="AA10" i="5"/>
  <c r="Z10" i="5"/>
  <c r="Z11" i="5" s="1"/>
  <c r="Y10" i="5"/>
  <c r="X10" i="5"/>
  <c r="W10" i="5"/>
  <c r="V10" i="5"/>
  <c r="V11" i="5" s="1"/>
  <c r="U10" i="5"/>
  <c r="T10" i="5"/>
  <c r="S10" i="5"/>
  <c r="R10" i="5"/>
  <c r="Q10" i="5"/>
  <c r="P10" i="5"/>
  <c r="O10" i="5"/>
  <c r="O11" i="5" s="1"/>
  <c r="N10" i="5"/>
  <c r="M10" i="5"/>
  <c r="M11" i="5" s="1"/>
  <c r="L10" i="5"/>
  <c r="K10" i="5"/>
  <c r="K11" i="5" s="1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AA11" i="5" s="1"/>
  <c r="Z9" i="5"/>
  <c r="Y9" i="5"/>
  <c r="X9" i="5"/>
  <c r="W9" i="5"/>
  <c r="W11" i="5" s="1"/>
  <c r="V9" i="5"/>
  <c r="U9" i="5"/>
  <c r="T9" i="5"/>
  <c r="S9" i="5"/>
  <c r="R9" i="5"/>
  <c r="R11" i="5" s="1"/>
  <c r="Q9" i="5"/>
  <c r="P9" i="5"/>
  <c r="O9" i="5"/>
  <c r="N9" i="5"/>
  <c r="M9" i="5"/>
  <c r="L9" i="5"/>
  <c r="L11" i="5" s="1"/>
  <c r="K9" i="5"/>
  <c r="J9" i="5"/>
  <c r="I9" i="5"/>
  <c r="H9" i="5"/>
  <c r="G9" i="5"/>
  <c r="F9" i="5"/>
  <c r="E9" i="5"/>
  <c r="D9" i="5"/>
  <c r="D11" i="5" s="1"/>
  <c r="C9" i="5"/>
  <c r="B9" i="5"/>
  <c r="Y6" i="5"/>
  <c r="X6" i="5"/>
  <c r="S6" i="5"/>
  <c r="Q6" i="5"/>
  <c r="G6" i="5"/>
  <c r="G7" i="5" s="1"/>
  <c r="G8" i="5" s="1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I12" i="4"/>
  <c r="F12" i="4"/>
  <c r="E12" i="4"/>
  <c r="D12" i="4"/>
  <c r="C12" i="4"/>
  <c r="B12" i="4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K11" i="4" s="1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X11" i="4" s="1"/>
  <c r="W9" i="4"/>
  <c r="V9" i="4"/>
  <c r="U9" i="4"/>
  <c r="U11" i="4" s="1"/>
  <c r="T9" i="4"/>
  <c r="S9" i="4"/>
  <c r="R9" i="4"/>
  <c r="Q9" i="4"/>
  <c r="P9" i="4"/>
  <c r="O9" i="4"/>
  <c r="N9" i="4"/>
  <c r="M9" i="4"/>
  <c r="L9" i="4"/>
  <c r="K9" i="4"/>
  <c r="J9" i="4"/>
  <c r="I9" i="4"/>
  <c r="I11" i="4" s="1"/>
  <c r="H9" i="4"/>
  <c r="G9" i="4"/>
  <c r="F9" i="4"/>
  <c r="F11" i="4" s="1"/>
  <c r="E9" i="4"/>
  <c r="D9" i="4"/>
  <c r="C9" i="4"/>
  <c r="B9" i="4"/>
  <c r="B11" i="4" s="1"/>
  <c r="I7" i="4"/>
  <c r="I8" i="4" s="1"/>
  <c r="Y6" i="4"/>
  <c r="Y7" i="4" s="1"/>
  <c r="Y8" i="4" s="1"/>
  <c r="W6" i="4"/>
  <c r="I6" i="4"/>
  <c r="G6" i="4"/>
  <c r="F6" i="4"/>
  <c r="F7" i="4" s="1"/>
  <c r="F8" i="4" s="1"/>
  <c r="E6" i="4"/>
  <c r="E7" i="4" s="1"/>
  <c r="E8" i="4" s="1"/>
  <c r="D6" i="4"/>
  <c r="D7" i="4" s="1"/>
  <c r="D8" i="4" s="1"/>
  <c r="C6" i="4"/>
  <c r="C7" i="4" s="1"/>
  <c r="C8" i="4" s="1"/>
  <c r="B6" i="4"/>
  <c r="B7" i="4" s="1"/>
  <c r="B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H5" i="4"/>
  <c r="H6" i="4" s="1"/>
  <c r="G12" i="4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B8" i="1"/>
  <c r="B11" i="1"/>
  <c r="B12" i="1"/>
  <c r="B10" i="1"/>
  <c r="B9" i="1"/>
  <c r="B7" i="1"/>
  <c r="AA5" i="1"/>
  <c r="T5" i="1"/>
  <c r="I5" i="1"/>
  <c r="I6" i="1" s="1"/>
  <c r="J5" i="1"/>
  <c r="J6" i="1" s="1"/>
  <c r="K5" i="1"/>
  <c r="K6" i="1" s="1"/>
  <c r="L5" i="1"/>
  <c r="L6" i="1" s="1"/>
  <c r="M5" i="1"/>
  <c r="N5" i="1"/>
  <c r="N6" i="1" s="1"/>
  <c r="O5" i="1"/>
  <c r="P5" i="1"/>
  <c r="P6" i="1" s="1"/>
  <c r="Q5" i="1"/>
  <c r="Q6" i="1" s="1"/>
  <c r="R5" i="1"/>
  <c r="R6" i="1" s="1"/>
  <c r="S5" i="1"/>
  <c r="S6" i="1" s="1"/>
  <c r="T6" i="1"/>
  <c r="U5" i="1"/>
  <c r="U6" i="1" s="1"/>
  <c r="V5" i="1"/>
  <c r="V6" i="1" s="1"/>
  <c r="W5" i="1"/>
  <c r="W6" i="1" s="1"/>
  <c r="X5" i="1"/>
  <c r="X6" i="1" s="1"/>
  <c r="Y5" i="1"/>
  <c r="Z5" i="1"/>
  <c r="Z6" i="1" s="1"/>
  <c r="AA6" i="1"/>
  <c r="AB5" i="1"/>
  <c r="AC5" i="1"/>
  <c r="AC6" i="1" s="1"/>
  <c r="AD5" i="1"/>
  <c r="AD6" i="1" s="1"/>
  <c r="H5" i="1"/>
  <c r="M6" i="1"/>
  <c r="Y6" i="1"/>
  <c r="AB6" i="1"/>
  <c r="G5" i="1"/>
  <c r="G6" i="1" s="1"/>
  <c r="B6" i="1"/>
  <c r="C6" i="1"/>
  <c r="D6" i="1"/>
  <c r="E6" i="1"/>
  <c r="F6" i="1"/>
  <c r="H6" i="1"/>
  <c r="O6" i="1"/>
  <c r="AD6" i="5" l="1"/>
  <c r="AD7" i="5" s="1"/>
  <c r="AD8" i="5" s="1"/>
  <c r="AC6" i="5"/>
  <c r="AC7" i="5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7" i="5"/>
  <c r="S8" i="5" s="1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X7" i="5"/>
  <c r="X8" i="5" s="1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  <c r="W7" i="4"/>
  <c r="W8" i="4" s="1"/>
</calcChain>
</file>

<file path=xl/sharedStrings.xml><?xml version="1.0" encoding="utf-8"?>
<sst xmlns="http://schemas.openxmlformats.org/spreadsheetml/2006/main" count="6071" uniqueCount="54">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</sst>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'Act-Pass_rf'!$A$7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'Act-Pass_rf'!$B$7:$AD$7</c:f>
              <c:numCache>
                <c:formatCode>General</c:formatCode>
                <c:ptCount val="29"/>
                <c:pt idx="0">
                  <c:v>0.875</c:v>
                </c:pt>
                <c:pt idx="1">
                  <c:v>0.875</c:v>
                </c:pt>
                <c:pt idx="2">
                  <c:v>0.86499999999999999</c:v>
                </c:pt>
                <c:pt idx="3">
                  <c:v>0.85</c:v>
                </c:pt>
                <c:pt idx="4">
                  <c:v>0.86</c:v>
                </c:pt>
                <c:pt idx="5">
                  <c:v>0.85499999999999998</c:v>
                </c:pt>
                <c:pt idx="6">
                  <c:v>0.85499999999999998</c:v>
                </c:pt>
                <c:pt idx="7">
                  <c:v>0.87</c:v>
                </c:pt>
                <c:pt idx="8">
                  <c:v>0.85499999999999998</c:v>
                </c:pt>
                <c:pt idx="9">
                  <c:v>0.85</c:v>
                </c:pt>
                <c:pt idx="10">
                  <c:v>0.86499999999999999</c:v>
                </c:pt>
                <c:pt idx="11">
                  <c:v>0.86</c:v>
                </c:pt>
                <c:pt idx="12">
                  <c:v>0.86499999999999999</c:v>
                </c:pt>
                <c:pt idx="13">
                  <c:v>0.89</c:v>
                </c:pt>
                <c:pt idx="14">
                  <c:v>0.88500000000000001</c:v>
                </c:pt>
                <c:pt idx="15">
                  <c:v>0.88500000000000001</c:v>
                </c:pt>
                <c:pt idx="16">
                  <c:v>0.88500000000000001</c:v>
                </c:pt>
                <c:pt idx="17">
                  <c:v>0.88500000000000001</c:v>
                </c:pt>
                <c:pt idx="18">
                  <c:v>0.9</c:v>
                </c:pt>
                <c:pt idx="19">
                  <c:v>0.91</c:v>
                </c:pt>
                <c:pt idx="20">
                  <c:v>0.93</c:v>
                </c:pt>
                <c:pt idx="21">
                  <c:v>0.93</c:v>
                </c:pt>
                <c:pt idx="22">
                  <c:v>0.92</c:v>
                </c:pt>
                <c:pt idx="23">
                  <c:v>0.93</c:v>
                </c:pt>
                <c:pt idx="24">
                  <c:v>0.92500000000000004</c:v>
                </c:pt>
                <c:pt idx="25">
                  <c:v>0.93</c:v>
                </c:pt>
                <c:pt idx="26">
                  <c:v>0.93</c:v>
                </c:pt>
                <c:pt idx="27">
                  <c:v>0.92500000000000004</c:v>
                </c:pt>
                <c:pt idx="28">
                  <c:v>0.93500000000000005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'Act-Pass_rf'!$A$9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'Act-Pass_rf'!$B$9:$AD$9</c:f>
              <c:numCache>
                <c:formatCode>General</c:formatCode>
                <c:ptCount val="29"/>
                <c:pt idx="0">
                  <c:v>0.88297872340425532</c:v>
                </c:pt>
                <c:pt idx="1">
                  <c:v>0.88297872340425532</c:v>
                </c:pt>
                <c:pt idx="2">
                  <c:v>0.8936170212765957</c:v>
                </c:pt>
                <c:pt idx="3">
                  <c:v>0.88297872340425532</c:v>
                </c:pt>
                <c:pt idx="4">
                  <c:v>0.9042553191489362</c:v>
                </c:pt>
                <c:pt idx="5">
                  <c:v>0.91489361702127658</c:v>
                </c:pt>
                <c:pt idx="6">
                  <c:v>0.91489361702127658</c:v>
                </c:pt>
                <c:pt idx="7">
                  <c:v>0.93617021276595747</c:v>
                </c:pt>
                <c:pt idx="8">
                  <c:v>0.92553191489361697</c:v>
                </c:pt>
                <c:pt idx="9">
                  <c:v>0.93617021276595747</c:v>
                </c:pt>
                <c:pt idx="10">
                  <c:v>0.92553191489361697</c:v>
                </c:pt>
                <c:pt idx="11">
                  <c:v>0.92553191489361697</c:v>
                </c:pt>
                <c:pt idx="12">
                  <c:v>0.92553191489361697</c:v>
                </c:pt>
                <c:pt idx="13">
                  <c:v>0.96808510638297873</c:v>
                </c:pt>
                <c:pt idx="14">
                  <c:v>0.96808510638297873</c:v>
                </c:pt>
                <c:pt idx="15">
                  <c:v>0.95744680851063835</c:v>
                </c:pt>
                <c:pt idx="16">
                  <c:v>0.96808510638297873</c:v>
                </c:pt>
                <c:pt idx="17">
                  <c:v>0.96808510638297873</c:v>
                </c:pt>
                <c:pt idx="18">
                  <c:v>0.95744680851063835</c:v>
                </c:pt>
                <c:pt idx="19">
                  <c:v>0.96808510638297873</c:v>
                </c:pt>
                <c:pt idx="20">
                  <c:v>0.97872340425531912</c:v>
                </c:pt>
                <c:pt idx="21">
                  <c:v>0.97872340425531912</c:v>
                </c:pt>
                <c:pt idx="22">
                  <c:v>0.97872340425531912</c:v>
                </c:pt>
                <c:pt idx="23">
                  <c:v>0.97872340425531912</c:v>
                </c:pt>
                <c:pt idx="24">
                  <c:v>0.95744680851063835</c:v>
                </c:pt>
                <c:pt idx="25">
                  <c:v>0.96808510638297873</c:v>
                </c:pt>
                <c:pt idx="26">
                  <c:v>0.96808510638297873</c:v>
                </c:pt>
                <c:pt idx="27">
                  <c:v>0.96808510638297873</c:v>
                </c:pt>
                <c:pt idx="28">
                  <c:v>0.97872340425531912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'Act-Pass_rf'!$A$10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'Act-Pass_rf'!$B$10:$AD$10</c:f>
              <c:numCache>
                <c:formatCode>General</c:formatCode>
                <c:ptCount val="29"/>
                <c:pt idx="0">
                  <c:v>0.85567010309278346</c:v>
                </c:pt>
                <c:pt idx="1">
                  <c:v>0.85567010309278346</c:v>
                </c:pt>
                <c:pt idx="2">
                  <c:v>0.83168316831683164</c:v>
                </c:pt>
                <c:pt idx="3">
                  <c:v>0.81372549019607843</c:v>
                </c:pt>
                <c:pt idx="4">
                  <c:v>0.81730769230769229</c:v>
                </c:pt>
                <c:pt idx="5">
                  <c:v>0.80373831775700932</c:v>
                </c:pt>
                <c:pt idx="6">
                  <c:v>0.80373831775700932</c:v>
                </c:pt>
                <c:pt idx="7">
                  <c:v>0.81481481481481477</c:v>
                </c:pt>
                <c:pt idx="8">
                  <c:v>0.79816513761467889</c:v>
                </c:pt>
                <c:pt idx="9">
                  <c:v>0.7857142857142857</c:v>
                </c:pt>
                <c:pt idx="10">
                  <c:v>0.81308411214953269</c:v>
                </c:pt>
                <c:pt idx="11">
                  <c:v>0.80555555555555558</c:v>
                </c:pt>
                <c:pt idx="12">
                  <c:v>0.81308411214953269</c:v>
                </c:pt>
                <c:pt idx="13">
                  <c:v>0.82727272727272727</c:v>
                </c:pt>
                <c:pt idx="14">
                  <c:v>0.81981981981981977</c:v>
                </c:pt>
                <c:pt idx="15">
                  <c:v>0.82568807339449546</c:v>
                </c:pt>
                <c:pt idx="16">
                  <c:v>0.81981981981981977</c:v>
                </c:pt>
                <c:pt idx="17">
                  <c:v>0.81981981981981977</c:v>
                </c:pt>
                <c:pt idx="18">
                  <c:v>0.84905660377358494</c:v>
                </c:pt>
                <c:pt idx="19">
                  <c:v>0.85849056603773588</c:v>
                </c:pt>
                <c:pt idx="20">
                  <c:v>0.88461538461538458</c:v>
                </c:pt>
                <c:pt idx="21">
                  <c:v>0.88461538461538458</c:v>
                </c:pt>
                <c:pt idx="22">
                  <c:v>0.86792452830188682</c:v>
                </c:pt>
                <c:pt idx="23">
                  <c:v>0.88461538461538458</c:v>
                </c:pt>
                <c:pt idx="24">
                  <c:v>0.8910891089108911</c:v>
                </c:pt>
                <c:pt idx="25">
                  <c:v>0.89215686274509809</c:v>
                </c:pt>
                <c:pt idx="26">
                  <c:v>0.89215686274509809</c:v>
                </c:pt>
                <c:pt idx="27">
                  <c:v>0.88349514563106801</c:v>
                </c:pt>
                <c:pt idx="28">
                  <c:v>0.89320388349514568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'Act-Pass_rf'!$A$1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'Act-Pass_rf'!$B$1:$AD$1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84</c:v>
                      </c:pt>
                      <c:pt idx="3">
                        <c:v>83</c:v>
                      </c:pt>
                      <c:pt idx="4">
                        <c:v>85</c:v>
                      </c:pt>
                      <c:pt idx="5">
                        <c:v>86</c:v>
                      </c:pt>
                      <c:pt idx="6">
                        <c:v>86</c:v>
                      </c:pt>
                      <c:pt idx="7">
                        <c:v>88</c:v>
                      </c:pt>
                      <c:pt idx="8">
                        <c:v>87</c:v>
                      </c:pt>
                      <c:pt idx="9">
                        <c:v>88</c:v>
                      </c:pt>
                      <c:pt idx="10">
                        <c:v>87</c:v>
                      </c:pt>
                      <c:pt idx="11">
                        <c:v>87</c:v>
                      </c:pt>
                      <c:pt idx="12">
                        <c:v>87</c:v>
                      </c:pt>
                      <c:pt idx="13">
                        <c:v>91</c:v>
                      </c:pt>
                      <c:pt idx="14">
                        <c:v>91</c:v>
                      </c:pt>
                      <c:pt idx="15">
                        <c:v>90</c:v>
                      </c:pt>
                      <c:pt idx="16">
                        <c:v>91</c:v>
                      </c:pt>
                      <c:pt idx="17">
                        <c:v>91</c:v>
                      </c:pt>
                      <c:pt idx="18">
                        <c:v>90</c:v>
                      </c:pt>
                      <c:pt idx="19">
                        <c:v>91</c:v>
                      </c:pt>
                      <c:pt idx="20">
                        <c:v>92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92</c:v>
                      </c:pt>
                      <c:pt idx="24">
                        <c:v>90</c:v>
                      </c:pt>
                      <c:pt idx="25">
                        <c:v>91</c:v>
                      </c:pt>
                      <c:pt idx="26">
                        <c:v>91</c:v>
                      </c:pt>
                      <c:pt idx="27">
                        <c:v>91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9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6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4</c:v>
                      </c:pt>
                      <c:pt idx="19">
                        <c:v>3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4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17</c:v>
                      </c:pt>
                      <c:pt idx="3">
                        <c:v>19</c:v>
                      </c:pt>
                      <c:pt idx="4">
                        <c:v>19</c:v>
                      </c:pt>
                      <c:pt idx="5">
                        <c:v>21</c:v>
                      </c:pt>
                      <c:pt idx="6">
                        <c:v>21</c:v>
                      </c:pt>
                      <c:pt idx="7">
                        <c:v>20</c:v>
                      </c:pt>
                      <c:pt idx="8">
                        <c:v>22</c:v>
                      </c:pt>
                      <c:pt idx="9">
                        <c:v>24</c:v>
                      </c:pt>
                      <c:pt idx="10">
                        <c:v>20</c:v>
                      </c:pt>
                      <c:pt idx="11">
                        <c:v>21</c:v>
                      </c:pt>
                      <c:pt idx="12">
                        <c:v>20</c:v>
                      </c:pt>
                      <c:pt idx="13">
                        <c:v>19</c:v>
                      </c:pt>
                      <c:pt idx="14">
                        <c:v>20</c:v>
                      </c:pt>
                      <c:pt idx="15">
                        <c:v>19</c:v>
                      </c:pt>
                      <c:pt idx="16">
                        <c:v>20</c:v>
                      </c:pt>
                      <c:pt idx="17">
                        <c:v>20</c:v>
                      </c:pt>
                      <c:pt idx="18">
                        <c:v>16</c:v>
                      </c:pt>
                      <c:pt idx="19">
                        <c:v>15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14</c:v>
                      </c:pt>
                      <c:pt idx="23">
                        <c:v>12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6">
                        <c:v>11</c:v>
                      </c:pt>
                      <c:pt idx="27">
                        <c:v>12</c:v>
                      </c:pt>
                      <c:pt idx="28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92</c:v>
                      </c:pt>
                      <c:pt idx="1">
                        <c:v>92</c:v>
                      </c:pt>
                      <c:pt idx="2">
                        <c:v>89</c:v>
                      </c:pt>
                      <c:pt idx="3">
                        <c:v>87</c:v>
                      </c:pt>
                      <c:pt idx="4">
                        <c:v>87</c:v>
                      </c:pt>
                      <c:pt idx="5">
                        <c:v>85</c:v>
                      </c:pt>
                      <c:pt idx="6">
                        <c:v>85</c:v>
                      </c:pt>
                      <c:pt idx="7">
                        <c:v>86</c:v>
                      </c:pt>
                      <c:pt idx="8">
                        <c:v>84</c:v>
                      </c:pt>
                      <c:pt idx="9">
                        <c:v>82</c:v>
                      </c:pt>
                      <c:pt idx="10">
                        <c:v>86</c:v>
                      </c:pt>
                      <c:pt idx="11">
                        <c:v>85</c:v>
                      </c:pt>
                      <c:pt idx="12">
                        <c:v>86</c:v>
                      </c:pt>
                      <c:pt idx="13">
                        <c:v>87</c:v>
                      </c:pt>
                      <c:pt idx="14">
                        <c:v>86</c:v>
                      </c:pt>
                      <c:pt idx="15">
                        <c:v>87</c:v>
                      </c:pt>
                      <c:pt idx="16">
                        <c:v>86</c:v>
                      </c:pt>
                      <c:pt idx="17">
                        <c:v>86</c:v>
                      </c:pt>
                      <c:pt idx="18">
                        <c:v>90</c:v>
                      </c:pt>
                      <c:pt idx="19">
                        <c:v>91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92</c:v>
                      </c:pt>
                      <c:pt idx="23">
                        <c:v>94</c:v>
                      </c:pt>
                      <c:pt idx="24">
                        <c:v>95</c:v>
                      </c:pt>
                      <c:pt idx="25">
                        <c:v>95</c:v>
                      </c:pt>
                      <c:pt idx="26">
                        <c:v>95</c:v>
                      </c:pt>
                      <c:pt idx="27">
                        <c:v>94</c:v>
                      </c:pt>
                      <c:pt idx="28">
                        <c:v>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0.125</c:v>
                      </c:pt>
                      <c:pt idx="1">
                        <c:v>0.125</c:v>
                      </c:pt>
                      <c:pt idx="2">
                        <c:v>0.13500000000000001</c:v>
                      </c:pt>
                      <c:pt idx="3">
                        <c:v>0.15000000000000002</c:v>
                      </c:pt>
                      <c:pt idx="4">
                        <c:v>0.14000000000000001</c:v>
                      </c:pt>
                      <c:pt idx="5">
                        <c:v>0.14500000000000002</c:v>
                      </c:pt>
                      <c:pt idx="6">
                        <c:v>0.14500000000000002</c:v>
                      </c:pt>
                      <c:pt idx="7">
                        <c:v>0.13</c:v>
                      </c:pt>
                      <c:pt idx="8">
                        <c:v>0.14500000000000002</c:v>
                      </c:pt>
                      <c:pt idx="9">
                        <c:v>0.15000000000000002</c:v>
                      </c:pt>
                      <c:pt idx="10">
                        <c:v>0.13500000000000001</c:v>
                      </c:pt>
                      <c:pt idx="11">
                        <c:v>0.14000000000000001</c:v>
                      </c:pt>
                      <c:pt idx="12">
                        <c:v>0.13500000000000001</c:v>
                      </c:pt>
                      <c:pt idx="13">
                        <c:v>0.10999999999999999</c:v>
                      </c:pt>
                      <c:pt idx="14">
                        <c:v>0.11499999999999999</c:v>
                      </c:pt>
                      <c:pt idx="15">
                        <c:v>0.11499999999999999</c:v>
                      </c:pt>
                      <c:pt idx="16">
                        <c:v>0.11499999999999999</c:v>
                      </c:pt>
                      <c:pt idx="17">
                        <c:v>0.11499999999999999</c:v>
                      </c:pt>
                      <c:pt idx="18">
                        <c:v>9.9999999999999978E-2</c:v>
                      </c:pt>
                      <c:pt idx="19">
                        <c:v>8.9999999999999969E-2</c:v>
                      </c:pt>
                      <c:pt idx="20">
                        <c:v>6.9999999999999951E-2</c:v>
                      </c:pt>
                      <c:pt idx="21">
                        <c:v>6.9999999999999951E-2</c:v>
                      </c:pt>
                      <c:pt idx="22">
                        <c:v>7.999999999999996E-2</c:v>
                      </c:pt>
                      <c:pt idx="23">
                        <c:v>6.9999999999999951E-2</c:v>
                      </c:pt>
                      <c:pt idx="24">
                        <c:v>7.4999999999999956E-2</c:v>
                      </c:pt>
                      <c:pt idx="25">
                        <c:v>6.9999999999999951E-2</c:v>
                      </c:pt>
                      <c:pt idx="26">
                        <c:v>6.9999999999999951E-2</c:v>
                      </c:pt>
                      <c:pt idx="27">
                        <c:v>7.4999999999999956E-2</c:v>
                      </c:pt>
                      <c:pt idx="28">
                        <c:v>6.4999999999999947E-2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'Act-Pass_rf'!$A$11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'Act-Pass_rf'!$B$11:$AD$11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0.86910994764397909</c:v>
                      </c:pt>
                      <c:pt idx="1">
                        <c:v>0.86910994764397909</c:v>
                      </c:pt>
                      <c:pt idx="2">
                        <c:v>0.86153846153846148</c:v>
                      </c:pt>
                      <c:pt idx="3">
                        <c:v>0.84693877551020402</c:v>
                      </c:pt>
                      <c:pt idx="4">
                        <c:v>0.85858585858585867</c:v>
                      </c:pt>
                      <c:pt idx="5">
                        <c:v>0.85572139303482586</c:v>
                      </c:pt>
                      <c:pt idx="6">
                        <c:v>0.85572139303482586</c:v>
                      </c:pt>
                      <c:pt idx="7">
                        <c:v>0.87128712871287128</c:v>
                      </c:pt>
                      <c:pt idx="8">
                        <c:v>0.8571428571428571</c:v>
                      </c:pt>
                      <c:pt idx="9">
                        <c:v>0.85436893203883502</c:v>
                      </c:pt>
                      <c:pt idx="10">
                        <c:v>0.86567164179104472</c:v>
                      </c:pt>
                      <c:pt idx="11">
                        <c:v>0.86138613861386137</c:v>
                      </c:pt>
                      <c:pt idx="12">
                        <c:v>0.86567164179104472</c:v>
                      </c:pt>
                      <c:pt idx="13">
                        <c:v>0.8921568627450982</c:v>
                      </c:pt>
                      <c:pt idx="14">
                        <c:v>0.88780487804878039</c:v>
                      </c:pt>
                      <c:pt idx="15">
                        <c:v>0.8866995073891627</c:v>
                      </c:pt>
                      <c:pt idx="16">
                        <c:v>0.88780487804878039</c:v>
                      </c:pt>
                      <c:pt idx="17">
                        <c:v>0.88780487804878039</c:v>
                      </c:pt>
                      <c:pt idx="18">
                        <c:v>0.9</c:v>
                      </c:pt>
                      <c:pt idx="19">
                        <c:v>0.91</c:v>
                      </c:pt>
                      <c:pt idx="20">
                        <c:v>0.92929292929292928</c:v>
                      </c:pt>
                      <c:pt idx="21">
                        <c:v>0.92929292929292928</c:v>
                      </c:pt>
                      <c:pt idx="22">
                        <c:v>0.91999999999999993</c:v>
                      </c:pt>
                      <c:pt idx="23">
                        <c:v>0.92929292929292928</c:v>
                      </c:pt>
                      <c:pt idx="24">
                        <c:v>0.92307692307692313</c:v>
                      </c:pt>
                      <c:pt idx="25">
                        <c:v>0.9285714285714286</c:v>
                      </c:pt>
                      <c:pt idx="26">
                        <c:v>0.9285714285714286</c:v>
                      </c:pt>
                      <c:pt idx="27">
                        <c:v>0.92385786802030456</c:v>
                      </c:pt>
                      <c:pt idx="28">
                        <c:v>0.93401015228426398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77D9-4A1C-88F1-5D85263F262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'Act-Pass_rf'!$A$12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'Act-Pass_rf'!$B$12:$AD$12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0.86792452830188682</c:v>
                      </c:pt>
                      <c:pt idx="1">
                        <c:v>0.86792452830188682</c:v>
                      </c:pt>
                      <c:pt idx="2">
                        <c:v>0.839622641509434</c:v>
                      </c:pt>
                      <c:pt idx="3">
                        <c:v>0.82075471698113212</c:v>
                      </c:pt>
                      <c:pt idx="4">
                        <c:v>0.82075471698113212</c:v>
                      </c:pt>
                      <c:pt idx="5">
                        <c:v>0.80188679245283023</c:v>
                      </c:pt>
                      <c:pt idx="6">
                        <c:v>0.80188679245283023</c:v>
                      </c:pt>
                      <c:pt idx="7">
                        <c:v>0.81132075471698117</c:v>
                      </c:pt>
                      <c:pt idx="8">
                        <c:v>0.79245283018867929</c:v>
                      </c:pt>
                      <c:pt idx="9">
                        <c:v>0.77358490566037741</c:v>
                      </c:pt>
                      <c:pt idx="10">
                        <c:v>0.81132075471698117</c:v>
                      </c:pt>
                      <c:pt idx="11">
                        <c:v>0.80188679245283023</c:v>
                      </c:pt>
                      <c:pt idx="12">
                        <c:v>0.81132075471698117</c:v>
                      </c:pt>
                      <c:pt idx="13">
                        <c:v>0.82075471698113212</c:v>
                      </c:pt>
                      <c:pt idx="14">
                        <c:v>0.81132075471698117</c:v>
                      </c:pt>
                      <c:pt idx="15">
                        <c:v>0.82075471698113212</c:v>
                      </c:pt>
                      <c:pt idx="16">
                        <c:v>0.81132075471698117</c:v>
                      </c:pt>
                      <c:pt idx="17">
                        <c:v>0.81132075471698117</c:v>
                      </c:pt>
                      <c:pt idx="18">
                        <c:v>0.84905660377358494</c:v>
                      </c:pt>
                      <c:pt idx="19">
                        <c:v>0.85849056603773588</c:v>
                      </c:pt>
                      <c:pt idx="20">
                        <c:v>0.8867924528301887</c:v>
                      </c:pt>
                      <c:pt idx="21">
                        <c:v>0.8867924528301887</c:v>
                      </c:pt>
                      <c:pt idx="22">
                        <c:v>0.86792452830188682</c:v>
                      </c:pt>
                      <c:pt idx="23">
                        <c:v>0.8867924528301887</c:v>
                      </c:pt>
                      <c:pt idx="24">
                        <c:v>0.89622641509433965</c:v>
                      </c:pt>
                      <c:pt idx="25">
                        <c:v>0.89622641509433965</c:v>
                      </c:pt>
                      <c:pt idx="26">
                        <c:v>0.89622641509433965</c:v>
                      </c:pt>
                      <c:pt idx="27">
                        <c:v>0.8867924528301887</c:v>
                      </c:pt>
                      <c:pt idx="28">
                        <c:v>0.89622641509433965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'Act-Pass_rf'!$A$13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'Act-Pass_rf'!$B$13:$AD$13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8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'Act-Dropout_rf'!$A$7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'Act-Dropout_rf'!$B$7:$AD$7</c:f>
              <c:numCache>
                <c:formatCode>General</c:formatCode>
                <c:ptCount val="29"/>
                <c:pt idx="0">
                  <c:v>0.80500000000000005</c:v>
                </c:pt>
                <c:pt idx="1">
                  <c:v>0.80500000000000005</c:v>
                </c:pt>
                <c:pt idx="2">
                  <c:v>0.80500000000000005</c:v>
                </c:pt>
                <c:pt idx="3">
                  <c:v>0.81499999999999995</c:v>
                </c:pt>
                <c:pt idx="4">
                  <c:v>0.83499999999999996</c:v>
                </c:pt>
                <c:pt idx="5">
                  <c:v>0.81</c:v>
                </c:pt>
                <c:pt idx="6">
                  <c:v>0.82</c:v>
                </c:pt>
                <c:pt idx="7">
                  <c:v>0.83499999999999996</c:v>
                </c:pt>
                <c:pt idx="8">
                  <c:v>0.83499999999999996</c:v>
                </c:pt>
                <c:pt idx="9">
                  <c:v>0.84</c:v>
                </c:pt>
                <c:pt idx="10">
                  <c:v>0.84</c:v>
                </c:pt>
                <c:pt idx="11">
                  <c:v>0.84499999999999997</c:v>
                </c:pt>
                <c:pt idx="12">
                  <c:v>0.84499999999999997</c:v>
                </c:pt>
                <c:pt idx="13">
                  <c:v>0.85</c:v>
                </c:pt>
                <c:pt idx="14">
                  <c:v>0.86</c:v>
                </c:pt>
                <c:pt idx="15">
                  <c:v>0.85</c:v>
                </c:pt>
                <c:pt idx="16">
                  <c:v>0.86</c:v>
                </c:pt>
                <c:pt idx="17">
                  <c:v>0.86</c:v>
                </c:pt>
                <c:pt idx="18">
                  <c:v>0.86499999999999999</c:v>
                </c:pt>
                <c:pt idx="19">
                  <c:v>0.875</c:v>
                </c:pt>
                <c:pt idx="20">
                  <c:v>0.87</c:v>
                </c:pt>
                <c:pt idx="21">
                  <c:v>0.87</c:v>
                </c:pt>
                <c:pt idx="22">
                  <c:v>0.88</c:v>
                </c:pt>
                <c:pt idx="23">
                  <c:v>0.86499999999999999</c:v>
                </c:pt>
                <c:pt idx="24">
                  <c:v>0.87</c:v>
                </c:pt>
                <c:pt idx="25">
                  <c:v>0.86499999999999999</c:v>
                </c:pt>
                <c:pt idx="26">
                  <c:v>0.87</c:v>
                </c:pt>
                <c:pt idx="27">
                  <c:v>0.875</c:v>
                </c:pt>
                <c:pt idx="28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'Act-Dropout_rf'!$A$9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'Act-Dropout_rf'!$B$9:$AD$9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0.91666666666666663</c:v>
                </c:pt>
                <c:pt idx="3">
                  <c:v>0.86111111111111116</c:v>
                </c:pt>
                <c:pt idx="4">
                  <c:v>0.80555555555555558</c:v>
                </c:pt>
                <c:pt idx="5">
                  <c:v>0.79166666666666663</c:v>
                </c:pt>
                <c:pt idx="6">
                  <c:v>0.80555555555555558</c:v>
                </c:pt>
                <c:pt idx="7">
                  <c:v>0.81944444444444442</c:v>
                </c:pt>
                <c:pt idx="8">
                  <c:v>0.79166666666666663</c:v>
                </c:pt>
                <c:pt idx="9">
                  <c:v>0.83333333333333337</c:v>
                </c:pt>
                <c:pt idx="10">
                  <c:v>0.83333333333333337</c:v>
                </c:pt>
                <c:pt idx="11">
                  <c:v>0.83333333333333337</c:v>
                </c:pt>
                <c:pt idx="12">
                  <c:v>0.83333333333333337</c:v>
                </c:pt>
                <c:pt idx="13">
                  <c:v>0.83333333333333337</c:v>
                </c:pt>
                <c:pt idx="14">
                  <c:v>0.875</c:v>
                </c:pt>
                <c:pt idx="15">
                  <c:v>0.81944444444444442</c:v>
                </c:pt>
                <c:pt idx="16">
                  <c:v>0.875</c:v>
                </c:pt>
                <c:pt idx="17">
                  <c:v>0.875</c:v>
                </c:pt>
                <c:pt idx="18">
                  <c:v>0.90277777777777779</c:v>
                </c:pt>
                <c:pt idx="19">
                  <c:v>0.91666666666666663</c:v>
                </c:pt>
                <c:pt idx="20">
                  <c:v>0.91666666666666663</c:v>
                </c:pt>
                <c:pt idx="21">
                  <c:v>0.91666666666666663</c:v>
                </c:pt>
                <c:pt idx="22">
                  <c:v>0.93055555555555558</c:v>
                </c:pt>
                <c:pt idx="23">
                  <c:v>0.91666666666666663</c:v>
                </c:pt>
                <c:pt idx="24">
                  <c:v>0.93055555555555558</c:v>
                </c:pt>
                <c:pt idx="25">
                  <c:v>0.91666666666666663</c:v>
                </c:pt>
                <c:pt idx="26">
                  <c:v>0.93055555555555558</c:v>
                </c:pt>
                <c:pt idx="27">
                  <c:v>0.94444444444444442</c:v>
                </c:pt>
                <c:pt idx="28">
                  <c:v>0.94444444444444442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'Act-Dropout_rf'!$A$10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'Act-Dropout_rf'!$B$10:$AD$10</c:f>
              <c:numCache>
                <c:formatCode>General</c:formatCode>
                <c:ptCount val="29"/>
                <c:pt idx="0">
                  <c:v>0.66019417475728159</c:v>
                </c:pt>
                <c:pt idx="1">
                  <c:v>0.66019417475728159</c:v>
                </c:pt>
                <c:pt idx="2">
                  <c:v>0.66666666666666663</c:v>
                </c:pt>
                <c:pt idx="3">
                  <c:v>0.6966292134831461</c:v>
                </c:pt>
                <c:pt idx="4">
                  <c:v>0.75324675324675328</c:v>
                </c:pt>
                <c:pt idx="5">
                  <c:v>0.71250000000000002</c:v>
                </c:pt>
                <c:pt idx="6">
                  <c:v>0.72499999999999998</c:v>
                </c:pt>
                <c:pt idx="7">
                  <c:v>0.74683544303797467</c:v>
                </c:pt>
                <c:pt idx="8">
                  <c:v>0.76</c:v>
                </c:pt>
                <c:pt idx="9">
                  <c:v>0.75</c:v>
                </c:pt>
                <c:pt idx="10">
                  <c:v>0.75</c:v>
                </c:pt>
                <c:pt idx="11">
                  <c:v>0.759493670886076</c:v>
                </c:pt>
                <c:pt idx="12">
                  <c:v>0.759493670886076</c:v>
                </c:pt>
                <c:pt idx="13">
                  <c:v>0.76923076923076927</c:v>
                </c:pt>
                <c:pt idx="14">
                  <c:v>0.76829268292682928</c:v>
                </c:pt>
                <c:pt idx="15">
                  <c:v>0.77631578947368418</c:v>
                </c:pt>
                <c:pt idx="16">
                  <c:v>0.76829268292682928</c:v>
                </c:pt>
                <c:pt idx="17">
                  <c:v>0.76829268292682928</c:v>
                </c:pt>
                <c:pt idx="18">
                  <c:v>0.76470588235294112</c:v>
                </c:pt>
                <c:pt idx="19">
                  <c:v>0.77647058823529413</c:v>
                </c:pt>
                <c:pt idx="20">
                  <c:v>0.76744186046511631</c:v>
                </c:pt>
                <c:pt idx="21">
                  <c:v>0.76744186046511631</c:v>
                </c:pt>
                <c:pt idx="22">
                  <c:v>0.77906976744186052</c:v>
                </c:pt>
                <c:pt idx="23">
                  <c:v>0.75862068965517238</c:v>
                </c:pt>
                <c:pt idx="24">
                  <c:v>0.76136363636363635</c:v>
                </c:pt>
                <c:pt idx="25">
                  <c:v>0.75862068965517238</c:v>
                </c:pt>
                <c:pt idx="26">
                  <c:v>0.76136363636363635</c:v>
                </c:pt>
                <c:pt idx="27">
                  <c:v>0.7640449438202247</c:v>
                </c:pt>
                <c:pt idx="28">
                  <c:v>0.75555555555555554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'Act-Dropout_rf'!$A$1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'Act-Dropout_rf'!$B$1:$AD$1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62</c:v>
                      </c:pt>
                      <c:pt idx="4">
                        <c:v>58</c:v>
                      </c:pt>
                      <c:pt idx="5">
                        <c:v>57</c:v>
                      </c:pt>
                      <c:pt idx="6">
                        <c:v>58</c:v>
                      </c:pt>
                      <c:pt idx="7">
                        <c:v>59</c:v>
                      </c:pt>
                      <c:pt idx="8">
                        <c:v>57</c:v>
                      </c:pt>
                      <c:pt idx="9">
                        <c:v>60</c:v>
                      </c:pt>
                      <c:pt idx="10">
                        <c:v>60</c:v>
                      </c:pt>
                      <c:pt idx="11">
                        <c:v>60</c:v>
                      </c:pt>
                      <c:pt idx="12">
                        <c:v>60</c:v>
                      </c:pt>
                      <c:pt idx="13">
                        <c:v>60</c:v>
                      </c:pt>
                      <c:pt idx="14">
                        <c:v>63</c:v>
                      </c:pt>
                      <c:pt idx="15">
                        <c:v>59</c:v>
                      </c:pt>
                      <c:pt idx="16">
                        <c:v>63</c:v>
                      </c:pt>
                      <c:pt idx="17">
                        <c:v>63</c:v>
                      </c:pt>
                      <c:pt idx="18">
                        <c:v>65</c:v>
                      </c:pt>
                      <c:pt idx="19">
                        <c:v>66</c:v>
                      </c:pt>
                      <c:pt idx="20">
                        <c:v>66</c:v>
                      </c:pt>
                      <c:pt idx="21">
                        <c:v>66</c:v>
                      </c:pt>
                      <c:pt idx="22">
                        <c:v>67</c:v>
                      </c:pt>
                      <c:pt idx="23">
                        <c:v>66</c:v>
                      </c:pt>
                      <c:pt idx="24">
                        <c:v>67</c:v>
                      </c:pt>
                      <c:pt idx="25">
                        <c:v>66</c:v>
                      </c:pt>
                      <c:pt idx="26">
                        <c:v>67</c:v>
                      </c:pt>
                      <c:pt idx="27">
                        <c:v>68</c:v>
                      </c:pt>
                      <c:pt idx="28">
                        <c:v>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10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14</c:v>
                      </c:pt>
                      <c:pt idx="7">
                        <c:v>13</c:v>
                      </c:pt>
                      <c:pt idx="8">
                        <c:v>15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9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5</c:v>
                      </c:pt>
                      <c:pt idx="25">
                        <c:v>6</c:v>
                      </c:pt>
                      <c:pt idx="26">
                        <c:v>5</c:v>
                      </c:pt>
                      <c:pt idx="27">
                        <c:v>4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35</c:v>
                      </c:pt>
                      <c:pt idx="2">
                        <c:v>33</c:v>
                      </c:pt>
                      <c:pt idx="3">
                        <c:v>27</c:v>
                      </c:pt>
                      <c:pt idx="4">
                        <c:v>19</c:v>
                      </c:pt>
                      <c:pt idx="5">
                        <c:v>23</c:v>
                      </c:pt>
                      <c:pt idx="6">
                        <c:v>22</c:v>
                      </c:pt>
                      <c:pt idx="7">
                        <c:v>20</c:v>
                      </c:pt>
                      <c:pt idx="8">
                        <c:v>18</c:v>
                      </c:pt>
                      <c:pt idx="9">
                        <c:v>20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18</c:v>
                      </c:pt>
                      <c:pt idx="14">
                        <c:v>19</c:v>
                      </c:pt>
                      <c:pt idx="15">
                        <c:v>17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20</c:v>
                      </c:pt>
                      <c:pt idx="22">
                        <c:v>19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21</c:v>
                      </c:pt>
                      <c:pt idx="28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93</c:v>
                      </c:pt>
                      <c:pt idx="1">
                        <c:v>93</c:v>
                      </c:pt>
                      <c:pt idx="2">
                        <c:v>95</c:v>
                      </c:pt>
                      <c:pt idx="3">
                        <c:v>101</c:v>
                      </c:pt>
                      <c:pt idx="4">
                        <c:v>109</c:v>
                      </c:pt>
                      <c:pt idx="5">
                        <c:v>105</c:v>
                      </c:pt>
                      <c:pt idx="6">
                        <c:v>106</c:v>
                      </c:pt>
                      <c:pt idx="7">
                        <c:v>108</c:v>
                      </c:pt>
                      <c:pt idx="8">
                        <c:v>110</c:v>
                      </c:pt>
                      <c:pt idx="9">
                        <c:v>108</c:v>
                      </c:pt>
                      <c:pt idx="10">
                        <c:v>108</c:v>
                      </c:pt>
                      <c:pt idx="11">
                        <c:v>109</c:v>
                      </c:pt>
                      <c:pt idx="12">
                        <c:v>109</c:v>
                      </c:pt>
                      <c:pt idx="13">
                        <c:v>110</c:v>
                      </c:pt>
                      <c:pt idx="14">
                        <c:v>109</c:v>
                      </c:pt>
                      <c:pt idx="15">
                        <c:v>111</c:v>
                      </c:pt>
                      <c:pt idx="16">
                        <c:v>109</c:v>
                      </c:pt>
                      <c:pt idx="17">
                        <c:v>109</c:v>
                      </c:pt>
                      <c:pt idx="18">
                        <c:v>108</c:v>
                      </c:pt>
                      <c:pt idx="19">
                        <c:v>109</c:v>
                      </c:pt>
                      <c:pt idx="20">
                        <c:v>108</c:v>
                      </c:pt>
                      <c:pt idx="21">
                        <c:v>108</c:v>
                      </c:pt>
                      <c:pt idx="22">
                        <c:v>109</c:v>
                      </c:pt>
                      <c:pt idx="23">
                        <c:v>107</c:v>
                      </c:pt>
                      <c:pt idx="24">
                        <c:v>107</c:v>
                      </c:pt>
                      <c:pt idx="25">
                        <c:v>107</c:v>
                      </c:pt>
                      <c:pt idx="26">
                        <c:v>107</c:v>
                      </c:pt>
                      <c:pt idx="27">
                        <c:v>107</c:v>
                      </c:pt>
                      <c:pt idx="28">
                        <c:v>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0.19499999999999995</c:v>
                      </c:pt>
                      <c:pt idx="1">
                        <c:v>0.19499999999999995</c:v>
                      </c:pt>
                      <c:pt idx="2">
                        <c:v>0.19499999999999995</c:v>
                      </c:pt>
                      <c:pt idx="3">
                        <c:v>0.18500000000000005</c:v>
                      </c:pt>
                      <c:pt idx="4">
                        <c:v>0.16500000000000004</c:v>
                      </c:pt>
                      <c:pt idx="5">
                        <c:v>0.18999999999999995</c:v>
                      </c:pt>
                      <c:pt idx="6">
                        <c:v>0.18000000000000005</c:v>
                      </c:pt>
                      <c:pt idx="7">
                        <c:v>0.16500000000000004</c:v>
                      </c:pt>
                      <c:pt idx="8">
                        <c:v>0.16500000000000004</c:v>
                      </c:pt>
                      <c:pt idx="9">
                        <c:v>0.16000000000000003</c:v>
                      </c:pt>
                      <c:pt idx="10">
                        <c:v>0.16000000000000003</c:v>
                      </c:pt>
                      <c:pt idx="11">
                        <c:v>0.15500000000000003</c:v>
                      </c:pt>
                      <c:pt idx="12">
                        <c:v>0.15500000000000003</c:v>
                      </c:pt>
                      <c:pt idx="13">
                        <c:v>0.15000000000000002</c:v>
                      </c:pt>
                      <c:pt idx="14">
                        <c:v>0.14000000000000001</c:v>
                      </c:pt>
                      <c:pt idx="15">
                        <c:v>0.15000000000000002</c:v>
                      </c:pt>
                      <c:pt idx="16">
                        <c:v>0.14000000000000001</c:v>
                      </c:pt>
                      <c:pt idx="17">
                        <c:v>0.14000000000000001</c:v>
                      </c:pt>
                      <c:pt idx="18">
                        <c:v>0.13500000000000001</c:v>
                      </c:pt>
                      <c:pt idx="19">
                        <c:v>0.125</c:v>
                      </c:pt>
                      <c:pt idx="20">
                        <c:v>0.13</c:v>
                      </c:pt>
                      <c:pt idx="21">
                        <c:v>0.13</c:v>
                      </c:pt>
                      <c:pt idx="22">
                        <c:v>0.12</c:v>
                      </c:pt>
                      <c:pt idx="23">
                        <c:v>0.13500000000000001</c:v>
                      </c:pt>
                      <c:pt idx="24">
                        <c:v>0.13</c:v>
                      </c:pt>
                      <c:pt idx="25">
                        <c:v>0.13500000000000001</c:v>
                      </c:pt>
                      <c:pt idx="26">
                        <c:v>0.13</c:v>
                      </c:pt>
                      <c:pt idx="27">
                        <c:v>0.125</c:v>
                      </c:pt>
                      <c:pt idx="28">
                        <c:v>0.13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'Act-Dropout_rf'!$A$11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'Act-Dropout_rf'!$B$11:$AD$11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0.77714285714285714</c:v>
                      </c:pt>
                      <c:pt idx="1">
                        <c:v>0.77714285714285714</c:v>
                      </c:pt>
                      <c:pt idx="2">
                        <c:v>0.77192982456140347</c:v>
                      </c:pt>
                      <c:pt idx="3">
                        <c:v>0.77018633540372672</c:v>
                      </c:pt>
                      <c:pt idx="4">
                        <c:v>0.778523489932886</c:v>
                      </c:pt>
                      <c:pt idx="5">
                        <c:v>0.75</c:v>
                      </c:pt>
                      <c:pt idx="6">
                        <c:v>0.76315789473684226</c:v>
                      </c:pt>
                      <c:pt idx="7">
                        <c:v>0.78145695364238399</c:v>
                      </c:pt>
                      <c:pt idx="8">
                        <c:v>0.77551020408163263</c:v>
                      </c:pt>
                      <c:pt idx="9">
                        <c:v>0.78947368421052622</c:v>
                      </c:pt>
                      <c:pt idx="10">
                        <c:v>0.78947368421052622</c:v>
                      </c:pt>
                      <c:pt idx="11">
                        <c:v>0.79470198675496684</c:v>
                      </c:pt>
                      <c:pt idx="12">
                        <c:v>0.79470198675496684</c:v>
                      </c:pt>
                      <c:pt idx="13">
                        <c:v>0.8</c:v>
                      </c:pt>
                      <c:pt idx="14">
                        <c:v>0.81818181818181812</c:v>
                      </c:pt>
                      <c:pt idx="15">
                        <c:v>0.79729729729729726</c:v>
                      </c:pt>
                      <c:pt idx="16">
                        <c:v>0.81818181818181812</c:v>
                      </c:pt>
                      <c:pt idx="17">
                        <c:v>0.81818181818181812</c:v>
                      </c:pt>
                      <c:pt idx="18">
                        <c:v>0.82802547770700641</c:v>
                      </c:pt>
                      <c:pt idx="19">
                        <c:v>0.84076433121019112</c:v>
                      </c:pt>
                      <c:pt idx="20">
                        <c:v>0.83544303797468367</c:v>
                      </c:pt>
                      <c:pt idx="21">
                        <c:v>0.83544303797468367</c:v>
                      </c:pt>
                      <c:pt idx="22">
                        <c:v>0.84810126582278478</c:v>
                      </c:pt>
                      <c:pt idx="23">
                        <c:v>0.83018867924528295</c:v>
                      </c:pt>
                      <c:pt idx="24">
                        <c:v>0.83750000000000002</c:v>
                      </c:pt>
                      <c:pt idx="25">
                        <c:v>0.83018867924528295</c:v>
                      </c:pt>
                      <c:pt idx="26">
                        <c:v>0.83750000000000002</c:v>
                      </c:pt>
                      <c:pt idx="27">
                        <c:v>0.84472049689440998</c:v>
                      </c:pt>
                      <c:pt idx="28">
                        <c:v>0.83950617283950624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'Act-Dropout_rf'!$A$12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'Act-Dropout_rf'!$B$12:$AD$12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0.7265625</c:v>
                      </c:pt>
                      <c:pt idx="1">
                        <c:v>0.7265625</c:v>
                      </c:pt>
                      <c:pt idx="2">
                        <c:v>0.7421875</c:v>
                      </c:pt>
                      <c:pt idx="3">
                        <c:v>0.7890625</c:v>
                      </c:pt>
                      <c:pt idx="4">
                        <c:v>0.8515625</c:v>
                      </c:pt>
                      <c:pt idx="5">
                        <c:v>0.8203125</c:v>
                      </c:pt>
                      <c:pt idx="6">
                        <c:v>0.828125</c:v>
                      </c:pt>
                      <c:pt idx="7">
                        <c:v>0.84375</c:v>
                      </c:pt>
                      <c:pt idx="8">
                        <c:v>0.859375</c:v>
                      </c:pt>
                      <c:pt idx="9">
                        <c:v>0.84375</c:v>
                      </c:pt>
                      <c:pt idx="10">
                        <c:v>0.84375</c:v>
                      </c:pt>
                      <c:pt idx="11">
                        <c:v>0.8515625</c:v>
                      </c:pt>
                      <c:pt idx="12">
                        <c:v>0.8515625</c:v>
                      </c:pt>
                      <c:pt idx="13">
                        <c:v>0.859375</c:v>
                      </c:pt>
                      <c:pt idx="14">
                        <c:v>0.8515625</c:v>
                      </c:pt>
                      <c:pt idx="15">
                        <c:v>0.8671875</c:v>
                      </c:pt>
                      <c:pt idx="16">
                        <c:v>0.8515625</c:v>
                      </c:pt>
                      <c:pt idx="17">
                        <c:v>0.8515625</c:v>
                      </c:pt>
                      <c:pt idx="18">
                        <c:v>0.84375</c:v>
                      </c:pt>
                      <c:pt idx="19">
                        <c:v>0.8515625</c:v>
                      </c:pt>
                      <c:pt idx="20">
                        <c:v>0.84375</c:v>
                      </c:pt>
                      <c:pt idx="21">
                        <c:v>0.84375</c:v>
                      </c:pt>
                      <c:pt idx="22">
                        <c:v>0.8515625</c:v>
                      </c:pt>
                      <c:pt idx="23">
                        <c:v>0.8359375</c:v>
                      </c:pt>
                      <c:pt idx="24">
                        <c:v>0.8359375</c:v>
                      </c:pt>
                      <c:pt idx="25">
                        <c:v>0.8359375</c:v>
                      </c:pt>
                      <c:pt idx="26">
                        <c:v>0.8359375</c:v>
                      </c:pt>
                      <c:pt idx="27">
                        <c:v>0.8359375</c:v>
                      </c:pt>
                      <c:pt idx="28">
                        <c:v>0.828125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0"/>
        <c:lblAlgn val="ctr"/>
        <c:lblOffset val="100"/>
        <c:noMultiLvlLbl val="0"/>
      </c:catAx>
      <c:valAx>
        <c:axId val="2117535167"/>
        <c:scaling>
          <c:orientation val="minMax"/>
          <c:max val="0.95000000000000007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'Act-Fail_rf'!$A$7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'Act-Fail_rf'!$B$7:$AD$7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0.80500000000000005</c:v>
                </c:pt>
                <c:pt idx="4">
                  <c:v>0.81499999999999995</c:v>
                </c:pt>
                <c:pt idx="5">
                  <c:v>0.82499999999999996</c:v>
                </c:pt>
                <c:pt idx="6">
                  <c:v>0.82499999999999996</c:v>
                </c:pt>
                <c:pt idx="7">
                  <c:v>0.82499999999999996</c:v>
                </c:pt>
                <c:pt idx="8">
                  <c:v>0.82</c:v>
                </c:pt>
                <c:pt idx="9">
                  <c:v>0.83499999999999996</c:v>
                </c:pt>
                <c:pt idx="10">
                  <c:v>0.80500000000000005</c:v>
                </c:pt>
                <c:pt idx="11">
                  <c:v>0.80500000000000005</c:v>
                </c:pt>
                <c:pt idx="12">
                  <c:v>0.81</c:v>
                </c:pt>
                <c:pt idx="13">
                  <c:v>0.81</c:v>
                </c:pt>
                <c:pt idx="14">
                  <c:v>0.81499999999999995</c:v>
                </c:pt>
                <c:pt idx="15">
                  <c:v>0.79500000000000004</c:v>
                </c:pt>
                <c:pt idx="16">
                  <c:v>0.81499999999999995</c:v>
                </c:pt>
                <c:pt idx="17">
                  <c:v>0.81499999999999995</c:v>
                </c:pt>
                <c:pt idx="18">
                  <c:v>0.82499999999999996</c:v>
                </c:pt>
                <c:pt idx="19">
                  <c:v>0.82499999999999996</c:v>
                </c:pt>
                <c:pt idx="20">
                  <c:v>0.83</c:v>
                </c:pt>
                <c:pt idx="21">
                  <c:v>0.83</c:v>
                </c:pt>
                <c:pt idx="22">
                  <c:v>0.83</c:v>
                </c:pt>
                <c:pt idx="23">
                  <c:v>0.82499999999999996</c:v>
                </c:pt>
                <c:pt idx="24">
                  <c:v>0.82499999999999996</c:v>
                </c:pt>
                <c:pt idx="25">
                  <c:v>0.82499999999999996</c:v>
                </c:pt>
                <c:pt idx="26">
                  <c:v>0.83</c:v>
                </c:pt>
                <c:pt idx="27">
                  <c:v>0.83</c:v>
                </c:pt>
                <c:pt idx="28">
                  <c:v>0.83499999999999996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'Act-Fail_rf'!$A$9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'Act-Fail_rf'!$B$9:$AD$9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5.8823529411764705E-2</c:v>
                </c:pt>
                <c:pt idx="4">
                  <c:v>0.23529411764705882</c:v>
                </c:pt>
                <c:pt idx="5">
                  <c:v>0.17647058823529413</c:v>
                </c:pt>
                <c:pt idx="6">
                  <c:v>0.17647058823529413</c:v>
                </c:pt>
                <c:pt idx="7">
                  <c:v>0.17647058823529413</c:v>
                </c:pt>
                <c:pt idx="8">
                  <c:v>0.20588235294117646</c:v>
                </c:pt>
                <c:pt idx="9">
                  <c:v>6.8965517241379309E-2</c:v>
                </c:pt>
                <c:pt idx="10">
                  <c:v>0.11764705882352941</c:v>
                </c:pt>
                <c:pt idx="11">
                  <c:v>0.11764705882352941</c:v>
                </c:pt>
                <c:pt idx="12">
                  <c:v>0.14705882352941177</c:v>
                </c:pt>
                <c:pt idx="13">
                  <c:v>0.11764705882352941</c:v>
                </c:pt>
                <c:pt idx="14">
                  <c:v>5.8823529411764705E-2</c:v>
                </c:pt>
                <c:pt idx="15">
                  <c:v>0.11764705882352941</c:v>
                </c:pt>
                <c:pt idx="16">
                  <c:v>5.8823529411764705E-2</c:v>
                </c:pt>
                <c:pt idx="17">
                  <c:v>5.8823529411764705E-2</c:v>
                </c:pt>
                <c:pt idx="18">
                  <c:v>0.11764705882352941</c:v>
                </c:pt>
                <c:pt idx="19">
                  <c:v>0.11764705882352941</c:v>
                </c:pt>
                <c:pt idx="20">
                  <c:v>0.14705882352941177</c:v>
                </c:pt>
                <c:pt idx="21">
                  <c:v>0.14705882352941177</c:v>
                </c:pt>
                <c:pt idx="22">
                  <c:v>0.11764705882352941</c:v>
                </c:pt>
                <c:pt idx="23">
                  <c:v>0.11764705882352941</c:v>
                </c:pt>
                <c:pt idx="24">
                  <c:v>0.14705882352941177</c:v>
                </c:pt>
                <c:pt idx="25">
                  <c:v>0.14705882352941177</c:v>
                </c:pt>
                <c:pt idx="26">
                  <c:v>0.14705882352941177</c:v>
                </c:pt>
                <c:pt idx="27">
                  <c:v>0.11764705882352941</c:v>
                </c:pt>
                <c:pt idx="28">
                  <c:v>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'Act-Fail_rf'!$A$10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'Act-Fail_rf'!$B$10:$AD$10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0.22222222222222221</c:v>
                </c:pt>
                <c:pt idx="4">
                  <c:v>0.42105263157894735</c:v>
                </c:pt>
                <c:pt idx="5">
                  <c:v>0.46153846153846156</c:v>
                </c:pt>
                <c:pt idx="6">
                  <c:v>0.46153846153846156</c:v>
                </c:pt>
                <c:pt idx="7">
                  <c:v>0.46153846153846156</c:v>
                </c:pt>
                <c:pt idx="8">
                  <c:v>0.4375</c:v>
                </c:pt>
                <c:pt idx="9">
                  <c:v>0.25</c:v>
                </c:pt>
                <c:pt idx="10">
                  <c:v>0.30769230769230771</c:v>
                </c:pt>
                <c:pt idx="11">
                  <c:v>0.30769230769230771</c:v>
                </c:pt>
                <c:pt idx="12">
                  <c:v>0.35714285714285715</c:v>
                </c:pt>
                <c:pt idx="13">
                  <c:v>0.33333333333333331</c:v>
                </c:pt>
                <c:pt idx="14">
                  <c:v>0.2857142857142857</c:v>
                </c:pt>
                <c:pt idx="15">
                  <c:v>0.26666666666666666</c:v>
                </c:pt>
                <c:pt idx="16">
                  <c:v>0.2857142857142857</c:v>
                </c:pt>
                <c:pt idx="17">
                  <c:v>0.2857142857142857</c:v>
                </c:pt>
                <c:pt idx="18">
                  <c:v>0.44444444444444442</c:v>
                </c:pt>
                <c:pt idx="19">
                  <c:v>0.44444444444444442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0.44444444444444442</c:v>
                </c:pt>
                <c:pt idx="24">
                  <c:v>0.45454545454545453</c:v>
                </c:pt>
                <c:pt idx="25">
                  <c:v>0.45454545454545453</c:v>
                </c:pt>
                <c:pt idx="26">
                  <c:v>0.5</c:v>
                </c:pt>
                <c:pt idx="27">
                  <c:v>0.5</c:v>
                </c:pt>
                <c:pt idx="28">
                  <c:v>0.5714285714285714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'Act-Fail_rf'!$A$1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'Act-Fail_rf'!$B$1:$AD$1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2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5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4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4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32</c:v>
                      </c:pt>
                      <c:pt idx="4">
                        <c:v>26</c:v>
                      </c:pt>
                      <c:pt idx="5">
                        <c:v>28</c:v>
                      </c:pt>
                      <c:pt idx="6">
                        <c:v>28</c:v>
                      </c:pt>
                      <c:pt idx="7">
                        <c:v>28</c:v>
                      </c:pt>
                      <c:pt idx="8">
                        <c:v>27</c:v>
                      </c:pt>
                      <c:pt idx="9">
                        <c:v>27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29</c:v>
                      </c:pt>
                      <c:pt idx="13">
                        <c:v>30</c:v>
                      </c:pt>
                      <c:pt idx="14">
                        <c:v>32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32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29</c:v>
                      </c:pt>
                      <c:pt idx="21">
                        <c:v>29</c:v>
                      </c:pt>
                      <c:pt idx="22">
                        <c:v>30</c:v>
                      </c:pt>
                      <c:pt idx="23">
                        <c:v>30</c:v>
                      </c:pt>
                      <c:pt idx="24">
                        <c:v>29</c:v>
                      </c:pt>
                      <c:pt idx="25">
                        <c:v>29</c:v>
                      </c:pt>
                      <c:pt idx="26">
                        <c:v>29</c:v>
                      </c:pt>
                      <c:pt idx="27">
                        <c:v>30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</c:v>
                      </c:pt>
                      <c:pt idx="4">
                        <c:v>11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6</c:v>
                      </c:pt>
                      <c:pt idx="10">
                        <c:v>9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8</c:v>
                      </c:pt>
                      <c:pt idx="14">
                        <c:v>5</c:v>
                      </c:pt>
                      <c:pt idx="15">
                        <c:v>11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4</c:v>
                      </c:pt>
                      <c:pt idx="23">
                        <c:v>5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5</c:v>
                      </c:pt>
                      <c:pt idx="27">
                        <c:v>4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159</c:v>
                      </c:pt>
                      <c:pt idx="4">
                        <c:v>155</c:v>
                      </c:pt>
                      <c:pt idx="5">
                        <c:v>159</c:v>
                      </c:pt>
                      <c:pt idx="6">
                        <c:v>159</c:v>
                      </c:pt>
                      <c:pt idx="7">
                        <c:v>159</c:v>
                      </c:pt>
                      <c:pt idx="8">
                        <c:v>157</c:v>
                      </c:pt>
                      <c:pt idx="9">
                        <c:v>165</c:v>
                      </c:pt>
                      <c:pt idx="10">
                        <c:v>157</c:v>
                      </c:pt>
                      <c:pt idx="11">
                        <c:v>157</c:v>
                      </c:pt>
                      <c:pt idx="12">
                        <c:v>157</c:v>
                      </c:pt>
                      <c:pt idx="13">
                        <c:v>158</c:v>
                      </c:pt>
                      <c:pt idx="14">
                        <c:v>161</c:v>
                      </c:pt>
                      <c:pt idx="15">
                        <c:v>155</c:v>
                      </c:pt>
                      <c:pt idx="16">
                        <c:v>161</c:v>
                      </c:pt>
                      <c:pt idx="17">
                        <c:v>161</c:v>
                      </c:pt>
                      <c:pt idx="18">
                        <c:v>161</c:v>
                      </c:pt>
                      <c:pt idx="19">
                        <c:v>161</c:v>
                      </c:pt>
                      <c:pt idx="20">
                        <c:v>161</c:v>
                      </c:pt>
                      <c:pt idx="21">
                        <c:v>161</c:v>
                      </c:pt>
                      <c:pt idx="22">
                        <c:v>162</c:v>
                      </c:pt>
                      <c:pt idx="23">
                        <c:v>161</c:v>
                      </c:pt>
                      <c:pt idx="24">
                        <c:v>160</c:v>
                      </c:pt>
                      <c:pt idx="25">
                        <c:v>160</c:v>
                      </c:pt>
                      <c:pt idx="26">
                        <c:v>161</c:v>
                      </c:pt>
                      <c:pt idx="27">
                        <c:v>162</c:v>
                      </c:pt>
                      <c:pt idx="28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0.19499999999999995</c:v>
                      </c:pt>
                      <c:pt idx="4">
                        <c:v>0.18500000000000005</c:v>
                      </c:pt>
                      <c:pt idx="5">
                        <c:v>0.17500000000000004</c:v>
                      </c:pt>
                      <c:pt idx="6">
                        <c:v>0.17500000000000004</c:v>
                      </c:pt>
                      <c:pt idx="7">
                        <c:v>0.17500000000000004</c:v>
                      </c:pt>
                      <c:pt idx="8">
                        <c:v>0.18000000000000005</c:v>
                      </c:pt>
                      <c:pt idx="9">
                        <c:v>0.16500000000000004</c:v>
                      </c:pt>
                      <c:pt idx="10">
                        <c:v>0.19499999999999995</c:v>
                      </c:pt>
                      <c:pt idx="11">
                        <c:v>0.19499999999999995</c:v>
                      </c:pt>
                      <c:pt idx="12">
                        <c:v>0.18999999999999995</c:v>
                      </c:pt>
                      <c:pt idx="13">
                        <c:v>0.18999999999999995</c:v>
                      </c:pt>
                      <c:pt idx="14">
                        <c:v>0.18500000000000005</c:v>
                      </c:pt>
                      <c:pt idx="15">
                        <c:v>0.20499999999999996</c:v>
                      </c:pt>
                      <c:pt idx="16">
                        <c:v>0.18500000000000005</c:v>
                      </c:pt>
                      <c:pt idx="17">
                        <c:v>0.18500000000000005</c:v>
                      </c:pt>
                      <c:pt idx="18">
                        <c:v>0.17500000000000004</c:v>
                      </c:pt>
                      <c:pt idx="19">
                        <c:v>0.17500000000000004</c:v>
                      </c:pt>
                      <c:pt idx="20">
                        <c:v>0.17000000000000004</c:v>
                      </c:pt>
                      <c:pt idx="21">
                        <c:v>0.17000000000000004</c:v>
                      </c:pt>
                      <c:pt idx="22">
                        <c:v>0.17000000000000004</c:v>
                      </c:pt>
                      <c:pt idx="23">
                        <c:v>0.17500000000000004</c:v>
                      </c:pt>
                      <c:pt idx="24">
                        <c:v>0.17500000000000004</c:v>
                      </c:pt>
                      <c:pt idx="25">
                        <c:v>0.17500000000000004</c:v>
                      </c:pt>
                      <c:pt idx="26">
                        <c:v>0.17000000000000004</c:v>
                      </c:pt>
                      <c:pt idx="27">
                        <c:v>0.17000000000000004</c:v>
                      </c:pt>
                      <c:pt idx="28">
                        <c:v>0.16500000000000004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'Act-Fail_rf'!$A$11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'Act-Fail_rf'!$B$11:$AD$11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9.3023255813953473E-2</c:v>
                      </c:pt>
                      <c:pt idx="4">
                        <c:v>0.30188679245283018</c:v>
                      </c:pt>
                      <c:pt idx="5">
                        <c:v>0.25531914893617025</c:v>
                      </c:pt>
                      <c:pt idx="6">
                        <c:v>0.25531914893617025</c:v>
                      </c:pt>
                      <c:pt idx="7">
                        <c:v>0.25531914893617025</c:v>
                      </c:pt>
                      <c:pt idx="8">
                        <c:v>0.28000000000000003</c:v>
                      </c:pt>
                      <c:pt idx="9">
                        <c:v>0.1081081081081081</c:v>
                      </c:pt>
                      <c:pt idx="10">
                        <c:v>0.1702127659574468</c:v>
                      </c:pt>
                      <c:pt idx="11">
                        <c:v>0.1702127659574468</c:v>
                      </c:pt>
                      <c:pt idx="12">
                        <c:v>0.20833333333333334</c:v>
                      </c:pt>
                      <c:pt idx="13">
                        <c:v>0.17391304347826089</c:v>
                      </c:pt>
                      <c:pt idx="14">
                        <c:v>9.7560975609756101E-2</c:v>
                      </c:pt>
                      <c:pt idx="15">
                        <c:v>0.16326530612244899</c:v>
                      </c:pt>
                      <c:pt idx="16">
                        <c:v>9.7560975609756101E-2</c:v>
                      </c:pt>
                      <c:pt idx="17">
                        <c:v>9.7560975609756101E-2</c:v>
                      </c:pt>
                      <c:pt idx="18">
                        <c:v>0.18604651162790695</c:v>
                      </c:pt>
                      <c:pt idx="19">
                        <c:v>0.18604651162790695</c:v>
                      </c:pt>
                      <c:pt idx="20">
                        <c:v>0.22727272727272727</c:v>
                      </c:pt>
                      <c:pt idx="21">
                        <c:v>0.22727272727272727</c:v>
                      </c:pt>
                      <c:pt idx="22">
                        <c:v>0.19047619047619047</c:v>
                      </c:pt>
                      <c:pt idx="23">
                        <c:v>0.18604651162790695</c:v>
                      </c:pt>
                      <c:pt idx="24">
                        <c:v>0.22222222222222224</c:v>
                      </c:pt>
                      <c:pt idx="25">
                        <c:v>0.22222222222222224</c:v>
                      </c:pt>
                      <c:pt idx="26">
                        <c:v>0.22727272727272727</c:v>
                      </c:pt>
                      <c:pt idx="27">
                        <c:v>0.19047619047619047</c:v>
                      </c:pt>
                      <c:pt idx="28">
                        <c:v>0.1951219512195122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CE2-433F-8480-6EF6029FDE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'Act-Fail_rf'!$A$12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'Act-Fail_rf'!$B$12:$AD$12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0.95783132530120485</c:v>
                      </c:pt>
                      <c:pt idx="4">
                        <c:v>0.9337349397590361</c:v>
                      </c:pt>
                      <c:pt idx="5">
                        <c:v>0.95783132530120485</c:v>
                      </c:pt>
                      <c:pt idx="6">
                        <c:v>0.95783132530120485</c:v>
                      </c:pt>
                      <c:pt idx="7">
                        <c:v>0.95783132530120485</c:v>
                      </c:pt>
                      <c:pt idx="8">
                        <c:v>0.94578313253012047</c:v>
                      </c:pt>
                      <c:pt idx="9">
                        <c:v>0.96491228070175439</c:v>
                      </c:pt>
                      <c:pt idx="10">
                        <c:v>0.94578313253012047</c:v>
                      </c:pt>
                      <c:pt idx="11">
                        <c:v>0.94578313253012047</c:v>
                      </c:pt>
                      <c:pt idx="12">
                        <c:v>0.94578313253012047</c:v>
                      </c:pt>
                      <c:pt idx="13">
                        <c:v>0.95180722891566261</c:v>
                      </c:pt>
                      <c:pt idx="14">
                        <c:v>0.96987951807228912</c:v>
                      </c:pt>
                      <c:pt idx="15">
                        <c:v>0.9337349397590361</c:v>
                      </c:pt>
                      <c:pt idx="16">
                        <c:v>0.96987951807228912</c:v>
                      </c:pt>
                      <c:pt idx="17">
                        <c:v>0.96987951807228912</c:v>
                      </c:pt>
                      <c:pt idx="18">
                        <c:v>0.96987951807228912</c:v>
                      </c:pt>
                      <c:pt idx="19">
                        <c:v>0.96987951807228912</c:v>
                      </c:pt>
                      <c:pt idx="20">
                        <c:v>0.96987951807228912</c:v>
                      </c:pt>
                      <c:pt idx="21">
                        <c:v>0.96987951807228912</c:v>
                      </c:pt>
                      <c:pt idx="22">
                        <c:v>0.97590361445783136</c:v>
                      </c:pt>
                      <c:pt idx="23">
                        <c:v>0.96987951807228912</c:v>
                      </c:pt>
                      <c:pt idx="24">
                        <c:v>0.96385542168674698</c:v>
                      </c:pt>
                      <c:pt idx="25">
                        <c:v>0.96385542168674698</c:v>
                      </c:pt>
                      <c:pt idx="26">
                        <c:v>0.96987951807228912</c:v>
                      </c:pt>
                      <c:pt idx="27">
                        <c:v>0.97590361445783136</c:v>
                      </c:pt>
                      <c:pt idx="28">
                        <c:v>0.98192771084337349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30" zoomScaleNormal="130" workbookViewId="0">
      <selection activeCell="A11" sqref="A11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83</v>
      </c>
      <c r="C2" s="1">
        <v>83</v>
      </c>
      <c r="D2" s="1">
        <v>84</v>
      </c>
      <c r="E2" s="1">
        <v>83</v>
      </c>
      <c r="F2" s="1">
        <v>85</v>
      </c>
      <c r="G2" s="1">
        <v>86</v>
      </c>
      <c r="H2" s="1">
        <v>86</v>
      </c>
      <c r="I2" s="1">
        <v>88</v>
      </c>
      <c r="J2" s="1">
        <v>87</v>
      </c>
      <c r="K2" s="1">
        <v>88</v>
      </c>
      <c r="L2" s="1">
        <v>87</v>
      </c>
      <c r="M2" s="1">
        <v>87</v>
      </c>
      <c r="N2" s="1">
        <v>87</v>
      </c>
      <c r="O2" s="1">
        <v>91</v>
      </c>
      <c r="P2" s="1">
        <v>91</v>
      </c>
      <c r="Q2" s="1">
        <v>90</v>
      </c>
      <c r="R2" s="1">
        <v>91</v>
      </c>
      <c r="S2" s="1">
        <v>91</v>
      </c>
      <c r="T2" s="1">
        <v>90</v>
      </c>
      <c r="U2" s="1">
        <v>91</v>
      </c>
      <c r="V2" s="1">
        <v>92</v>
      </c>
      <c r="W2" s="1">
        <v>92</v>
      </c>
      <c r="X2" s="1">
        <v>92</v>
      </c>
      <c r="Y2" s="1">
        <v>92</v>
      </c>
      <c r="Z2" s="1">
        <v>90</v>
      </c>
      <c r="AA2" s="1">
        <v>91</v>
      </c>
      <c r="AB2" s="1">
        <v>91</v>
      </c>
      <c r="AC2" s="1">
        <v>91</v>
      </c>
      <c r="AD2" s="1">
        <v>92</v>
      </c>
    </row>
    <row r="3" spans="1:30" x14ac:dyDescent="0.25">
      <c r="A3" t="s">
        <v>10</v>
      </c>
      <c r="B3" s="1">
        <v>11</v>
      </c>
      <c r="C3" s="1">
        <v>11</v>
      </c>
      <c r="D3" s="1">
        <v>10</v>
      </c>
      <c r="E3" s="1">
        <v>11</v>
      </c>
      <c r="F3" s="1">
        <v>9</v>
      </c>
      <c r="G3" s="1">
        <v>8</v>
      </c>
      <c r="H3" s="1">
        <v>8</v>
      </c>
      <c r="I3" s="1">
        <v>6</v>
      </c>
      <c r="J3" s="1">
        <v>7</v>
      </c>
      <c r="K3" s="1">
        <v>6</v>
      </c>
      <c r="L3" s="1">
        <v>7</v>
      </c>
      <c r="M3" s="1">
        <v>7</v>
      </c>
      <c r="N3" s="1">
        <v>7</v>
      </c>
      <c r="O3" s="1">
        <v>3</v>
      </c>
      <c r="P3" s="1">
        <v>3</v>
      </c>
      <c r="Q3" s="1">
        <v>4</v>
      </c>
      <c r="R3" s="1">
        <v>3</v>
      </c>
      <c r="S3" s="1">
        <v>3</v>
      </c>
      <c r="T3" s="1">
        <v>4</v>
      </c>
      <c r="U3" s="1">
        <v>3</v>
      </c>
      <c r="V3" s="1">
        <v>2</v>
      </c>
      <c r="W3" s="1">
        <v>2</v>
      </c>
      <c r="X3" s="1">
        <v>2</v>
      </c>
      <c r="Y3" s="1">
        <v>2</v>
      </c>
      <c r="Z3" s="1">
        <v>4</v>
      </c>
      <c r="AA3" s="1">
        <v>3</v>
      </c>
      <c r="AB3" s="1">
        <v>3</v>
      </c>
      <c r="AC3" s="1">
        <v>3</v>
      </c>
      <c r="AD3" s="1">
        <v>2</v>
      </c>
    </row>
    <row r="4" spans="1:30" x14ac:dyDescent="0.25">
      <c r="A4" t="s">
        <v>11</v>
      </c>
      <c r="B4" s="1">
        <v>14</v>
      </c>
      <c r="C4" s="1">
        <v>14</v>
      </c>
      <c r="D4" s="1">
        <v>17</v>
      </c>
      <c r="E4" s="1">
        <v>19</v>
      </c>
      <c r="F4" s="1">
        <v>19</v>
      </c>
      <c r="G4" s="1">
        <v>21</v>
      </c>
      <c r="H4" s="1">
        <v>21</v>
      </c>
      <c r="I4" s="1">
        <v>20</v>
      </c>
      <c r="J4" s="1">
        <v>22</v>
      </c>
      <c r="K4" s="1">
        <v>24</v>
      </c>
      <c r="L4" s="1">
        <v>20</v>
      </c>
      <c r="M4" s="1">
        <v>21</v>
      </c>
      <c r="N4" s="1">
        <v>20</v>
      </c>
      <c r="O4" s="1">
        <v>19</v>
      </c>
      <c r="P4" s="1">
        <v>20</v>
      </c>
      <c r="Q4" s="1">
        <v>19</v>
      </c>
      <c r="R4" s="1">
        <v>20</v>
      </c>
      <c r="S4" s="1">
        <v>20</v>
      </c>
      <c r="T4" s="1">
        <v>16</v>
      </c>
      <c r="U4" s="1">
        <v>15</v>
      </c>
      <c r="V4" s="1">
        <v>12</v>
      </c>
      <c r="W4" s="1">
        <v>12</v>
      </c>
      <c r="X4" s="1">
        <v>14</v>
      </c>
      <c r="Y4" s="1">
        <v>12</v>
      </c>
      <c r="Z4" s="1">
        <v>11</v>
      </c>
      <c r="AA4" s="1">
        <v>11</v>
      </c>
      <c r="AB4" s="1">
        <v>11</v>
      </c>
      <c r="AC4" s="1">
        <v>12</v>
      </c>
      <c r="AD4" s="1">
        <v>11</v>
      </c>
    </row>
    <row r="5" spans="1:30" x14ac:dyDescent="0.25">
      <c r="A5" t="s">
        <v>12</v>
      </c>
      <c r="B5" s="1">
        <v>92</v>
      </c>
      <c r="C5" s="1">
        <v>92</v>
      </c>
      <c r="D5" s="1">
        <v>89</v>
      </c>
      <c r="E5" s="1">
        <v>87</v>
      </c>
      <c r="F5" s="1">
        <v>87</v>
      </c>
      <c r="G5" s="1">
        <f>200-86-8-21</f>
        <v>85</v>
      </c>
      <c r="H5" s="1">
        <f>200-H2-H3-H4</f>
        <v>85</v>
      </c>
      <c r="I5" s="1">
        <f t="shared" ref="I5:AD5" si="0">200-I2-I3-I4</f>
        <v>86</v>
      </c>
      <c r="J5" s="1">
        <f t="shared" si="0"/>
        <v>84</v>
      </c>
      <c r="K5" s="1">
        <f t="shared" si="0"/>
        <v>82</v>
      </c>
      <c r="L5" s="1">
        <f t="shared" si="0"/>
        <v>86</v>
      </c>
      <c r="M5" s="1">
        <f t="shared" si="0"/>
        <v>85</v>
      </c>
      <c r="N5" s="1">
        <f t="shared" si="0"/>
        <v>86</v>
      </c>
      <c r="O5" s="1">
        <f t="shared" si="0"/>
        <v>87</v>
      </c>
      <c r="P5" s="1">
        <f t="shared" si="0"/>
        <v>86</v>
      </c>
      <c r="Q5" s="1">
        <f t="shared" si="0"/>
        <v>87</v>
      </c>
      <c r="R5" s="1">
        <f t="shared" si="0"/>
        <v>86</v>
      </c>
      <c r="S5" s="1">
        <f t="shared" si="0"/>
        <v>86</v>
      </c>
      <c r="T5" s="1">
        <f>200-T2-T3-T4</f>
        <v>90</v>
      </c>
      <c r="U5" s="1">
        <f t="shared" si="0"/>
        <v>91</v>
      </c>
      <c r="V5" s="1">
        <f t="shared" si="0"/>
        <v>94</v>
      </c>
      <c r="W5" s="1">
        <f t="shared" si="0"/>
        <v>94</v>
      </c>
      <c r="X5" s="1">
        <f t="shared" si="0"/>
        <v>92</v>
      </c>
      <c r="Y5" s="1">
        <f t="shared" si="0"/>
        <v>94</v>
      </c>
      <c r="Z5" s="1">
        <f t="shared" si="0"/>
        <v>95</v>
      </c>
      <c r="AA5" s="1">
        <f>200-AA2-AA3-AA4</f>
        <v>95</v>
      </c>
      <c r="AB5" s="1">
        <f t="shared" si="0"/>
        <v>95</v>
      </c>
      <c r="AC5" s="1">
        <f t="shared" si="0"/>
        <v>94</v>
      </c>
      <c r="AD5" s="1">
        <f t="shared" si="0"/>
        <v>95</v>
      </c>
    </row>
    <row r="6" spans="1:30" x14ac:dyDescent="0.25">
      <c r="A6" t="s">
        <v>15</v>
      </c>
      <c r="B6" s="1">
        <f t="shared" ref="B6:AD6" si="1">SUM(B2:B5)</f>
        <v>200</v>
      </c>
      <c r="C6" s="1">
        <f t="shared" si="1"/>
        <v>200</v>
      </c>
      <c r="D6" s="1">
        <f t="shared" si="1"/>
        <v>200</v>
      </c>
      <c r="E6" s="1">
        <f t="shared" si="1"/>
        <v>200</v>
      </c>
      <c r="F6" s="1">
        <f t="shared" si="1"/>
        <v>200</v>
      </c>
      <c r="G6" s="1">
        <f t="shared" si="1"/>
        <v>200</v>
      </c>
      <c r="H6" s="1">
        <f t="shared" si="1"/>
        <v>200</v>
      </c>
      <c r="I6" s="1">
        <f t="shared" si="1"/>
        <v>200</v>
      </c>
      <c r="J6" s="1">
        <f t="shared" si="1"/>
        <v>200</v>
      </c>
      <c r="K6" s="1">
        <f t="shared" si="1"/>
        <v>200</v>
      </c>
      <c r="L6" s="1">
        <f t="shared" si="1"/>
        <v>200</v>
      </c>
      <c r="M6" s="1">
        <f t="shared" si="1"/>
        <v>200</v>
      </c>
      <c r="N6" s="1">
        <f t="shared" si="1"/>
        <v>200</v>
      </c>
      <c r="O6" s="1">
        <f t="shared" si="1"/>
        <v>200</v>
      </c>
      <c r="P6" s="1">
        <f t="shared" si="1"/>
        <v>200</v>
      </c>
      <c r="Q6" s="1">
        <f t="shared" si="1"/>
        <v>200</v>
      </c>
      <c r="R6" s="1">
        <f t="shared" si="1"/>
        <v>200</v>
      </c>
      <c r="S6" s="1">
        <f t="shared" si="1"/>
        <v>200</v>
      </c>
      <c r="T6" s="1">
        <f t="shared" si="1"/>
        <v>200</v>
      </c>
      <c r="U6" s="1">
        <f t="shared" si="1"/>
        <v>200</v>
      </c>
      <c r="V6" s="1">
        <f t="shared" si="1"/>
        <v>200</v>
      </c>
      <c r="W6" s="1">
        <f t="shared" si="1"/>
        <v>200</v>
      </c>
      <c r="X6" s="1">
        <f t="shared" si="1"/>
        <v>200</v>
      </c>
      <c r="Y6" s="1">
        <f t="shared" si="1"/>
        <v>200</v>
      </c>
      <c r="Z6" s="1">
        <f t="shared" si="1"/>
        <v>200</v>
      </c>
      <c r="AA6" s="1">
        <f t="shared" si="1"/>
        <v>200</v>
      </c>
      <c r="AB6" s="1">
        <f t="shared" si="1"/>
        <v>200</v>
      </c>
      <c r="AC6" s="1">
        <f t="shared" si="1"/>
        <v>200</v>
      </c>
      <c r="AD6" s="1">
        <f t="shared" si="1"/>
        <v>200</v>
      </c>
    </row>
    <row r="7" spans="1:30" x14ac:dyDescent="0.25">
      <c r="A7" t="s">
        <v>0</v>
      </c>
      <c r="B7" s="1">
        <f>(B5+B2)/B6</f>
        <v>0.875</v>
      </c>
      <c r="C7" s="1">
        <f t="shared" ref="C7:AD7" si="2">(C5+C2)/C6</f>
        <v>0.875</v>
      </c>
      <c r="D7" s="1">
        <f t="shared" si="2"/>
        <v>0.86499999999999999</v>
      </c>
      <c r="E7" s="1">
        <f t="shared" si="2"/>
        <v>0.85</v>
      </c>
      <c r="F7" s="1">
        <f t="shared" si="2"/>
        <v>0.86</v>
      </c>
      <c r="G7" s="1">
        <f t="shared" si="2"/>
        <v>0.85499999999999998</v>
      </c>
      <c r="H7" s="1">
        <f t="shared" si="2"/>
        <v>0.85499999999999998</v>
      </c>
      <c r="I7" s="1">
        <f t="shared" si="2"/>
        <v>0.87</v>
      </c>
      <c r="J7" s="1">
        <f t="shared" si="2"/>
        <v>0.85499999999999998</v>
      </c>
      <c r="K7" s="1">
        <f t="shared" si="2"/>
        <v>0.85</v>
      </c>
      <c r="L7" s="1">
        <f t="shared" si="2"/>
        <v>0.86499999999999999</v>
      </c>
      <c r="M7" s="1">
        <f t="shared" si="2"/>
        <v>0.86</v>
      </c>
      <c r="N7" s="1">
        <f t="shared" si="2"/>
        <v>0.86499999999999999</v>
      </c>
      <c r="O7" s="1">
        <f t="shared" si="2"/>
        <v>0.89</v>
      </c>
      <c r="P7" s="1">
        <f t="shared" si="2"/>
        <v>0.88500000000000001</v>
      </c>
      <c r="Q7" s="1">
        <f t="shared" si="2"/>
        <v>0.88500000000000001</v>
      </c>
      <c r="R7" s="1">
        <f t="shared" si="2"/>
        <v>0.88500000000000001</v>
      </c>
      <c r="S7" s="1">
        <f t="shared" si="2"/>
        <v>0.88500000000000001</v>
      </c>
      <c r="T7" s="1">
        <f t="shared" si="2"/>
        <v>0.9</v>
      </c>
      <c r="U7" s="1">
        <f t="shared" si="2"/>
        <v>0.91</v>
      </c>
      <c r="V7" s="1">
        <f t="shared" si="2"/>
        <v>0.93</v>
      </c>
      <c r="W7" s="1">
        <f t="shared" si="2"/>
        <v>0.93</v>
      </c>
      <c r="X7" s="1">
        <f t="shared" si="2"/>
        <v>0.92</v>
      </c>
      <c r="Y7" s="1">
        <f t="shared" si="2"/>
        <v>0.93</v>
      </c>
      <c r="Z7" s="1">
        <f t="shared" si="2"/>
        <v>0.92500000000000004</v>
      </c>
      <c r="AA7" s="1">
        <f t="shared" si="2"/>
        <v>0.93</v>
      </c>
      <c r="AB7" s="1">
        <f t="shared" si="2"/>
        <v>0.93</v>
      </c>
      <c r="AC7" s="1">
        <f t="shared" si="2"/>
        <v>0.92500000000000004</v>
      </c>
      <c r="AD7" s="1">
        <f t="shared" si="2"/>
        <v>0.93500000000000005</v>
      </c>
    </row>
    <row r="8" spans="1:30" x14ac:dyDescent="0.25">
      <c r="A8" t="s">
        <v>1</v>
      </c>
      <c r="B8" s="1">
        <f>1-B7</f>
        <v>0.125</v>
      </c>
      <c r="C8" s="1">
        <f t="shared" ref="C8:AD8" si="3">1-C7</f>
        <v>0.125</v>
      </c>
      <c r="D8" s="1">
        <f t="shared" si="3"/>
        <v>0.13500000000000001</v>
      </c>
      <c r="E8" s="1">
        <f t="shared" si="3"/>
        <v>0.15000000000000002</v>
      </c>
      <c r="F8" s="1">
        <f t="shared" si="3"/>
        <v>0.14000000000000001</v>
      </c>
      <c r="G8" s="1">
        <f t="shared" si="3"/>
        <v>0.14500000000000002</v>
      </c>
      <c r="H8" s="1">
        <f t="shared" si="3"/>
        <v>0.14500000000000002</v>
      </c>
      <c r="I8" s="1">
        <f t="shared" si="3"/>
        <v>0.13</v>
      </c>
      <c r="J8" s="1">
        <f t="shared" si="3"/>
        <v>0.14500000000000002</v>
      </c>
      <c r="K8" s="1">
        <f t="shared" si="3"/>
        <v>0.15000000000000002</v>
      </c>
      <c r="L8" s="1">
        <f t="shared" si="3"/>
        <v>0.13500000000000001</v>
      </c>
      <c r="M8" s="1">
        <f t="shared" si="3"/>
        <v>0.14000000000000001</v>
      </c>
      <c r="N8" s="1">
        <f t="shared" si="3"/>
        <v>0.13500000000000001</v>
      </c>
      <c r="O8" s="1">
        <f t="shared" si="3"/>
        <v>0.10999999999999999</v>
      </c>
      <c r="P8" s="1">
        <f t="shared" si="3"/>
        <v>0.11499999999999999</v>
      </c>
      <c r="Q8" s="1">
        <f t="shared" si="3"/>
        <v>0.11499999999999999</v>
      </c>
      <c r="R8" s="1">
        <f t="shared" si="3"/>
        <v>0.11499999999999999</v>
      </c>
      <c r="S8" s="1">
        <f t="shared" si="3"/>
        <v>0.11499999999999999</v>
      </c>
      <c r="T8" s="1">
        <f t="shared" si="3"/>
        <v>9.9999999999999978E-2</v>
      </c>
      <c r="U8" s="1">
        <f t="shared" si="3"/>
        <v>8.9999999999999969E-2</v>
      </c>
      <c r="V8" s="1">
        <f t="shared" si="3"/>
        <v>6.9999999999999951E-2</v>
      </c>
      <c r="W8" s="1">
        <f t="shared" si="3"/>
        <v>6.9999999999999951E-2</v>
      </c>
      <c r="X8" s="1">
        <f t="shared" si="3"/>
        <v>7.999999999999996E-2</v>
      </c>
      <c r="Y8" s="1">
        <f t="shared" si="3"/>
        <v>6.9999999999999951E-2</v>
      </c>
      <c r="Z8" s="1">
        <f t="shared" si="3"/>
        <v>7.4999999999999956E-2</v>
      </c>
      <c r="AA8" s="1">
        <f t="shared" si="3"/>
        <v>6.9999999999999951E-2</v>
      </c>
      <c r="AB8" s="1">
        <f t="shared" si="3"/>
        <v>6.9999999999999951E-2</v>
      </c>
      <c r="AC8" s="1">
        <f t="shared" si="3"/>
        <v>7.4999999999999956E-2</v>
      </c>
      <c r="AD8" s="1">
        <f t="shared" si="3"/>
        <v>6.4999999999999947E-2</v>
      </c>
    </row>
    <row r="9" spans="1:30" x14ac:dyDescent="0.25">
      <c r="A9" t="s">
        <v>52</v>
      </c>
      <c r="B9" s="1">
        <f>B2/(B2+B3)</f>
        <v>0.88297872340425532</v>
      </c>
      <c r="C9" s="1">
        <f t="shared" ref="C9:AD9" si="4">C2/(C2+C3)</f>
        <v>0.88297872340425532</v>
      </c>
      <c r="D9" s="1">
        <f t="shared" si="4"/>
        <v>0.8936170212765957</v>
      </c>
      <c r="E9" s="1">
        <f t="shared" si="4"/>
        <v>0.88297872340425532</v>
      </c>
      <c r="F9" s="1">
        <f t="shared" si="4"/>
        <v>0.9042553191489362</v>
      </c>
      <c r="G9" s="1">
        <f t="shared" si="4"/>
        <v>0.91489361702127658</v>
      </c>
      <c r="H9" s="1">
        <f t="shared" si="4"/>
        <v>0.91489361702127658</v>
      </c>
      <c r="I9" s="1">
        <f t="shared" si="4"/>
        <v>0.93617021276595747</v>
      </c>
      <c r="J9" s="1">
        <f t="shared" si="4"/>
        <v>0.92553191489361697</v>
      </c>
      <c r="K9" s="1">
        <f t="shared" si="4"/>
        <v>0.93617021276595747</v>
      </c>
      <c r="L9" s="1">
        <f t="shared" si="4"/>
        <v>0.92553191489361697</v>
      </c>
      <c r="M9" s="1">
        <f t="shared" si="4"/>
        <v>0.92553191489361697</v>
      </c>
      <c r="N9" s="1">
        <f t="shared" si="4"/>
        <v>0.92553191489361697</v>
      </c>
      <c r="O9" s="1">
        <f t="shared" si="4"/>
        <v>0.96808510638297873</v>
      </c>
      <c r="P9" s="1">
        <f t="shared" si="4"/>
        <v>0.96808510638297873</v>
      </c>
      <c r="Q9" s="1">
        <f t="shared" si="4"/>
        <v>0.95744680851063835</v>
      </c>
      <c r="R9" s="1">
        <f t="shared" si="4"/>
        <v>0.96808510638297873</v>
      </c>
      <c r="S9" s="1">
        <f t="shared" si="4"/>
        <v>0.96808510638297873</v>
      </c>
      <c r="T9" s="1">
        <f t="shared" si="4"/>
        <v>0.95744680851063835</v>
      </c>
      <c r="U9" s="1">
        <f t="shared" si="4"/>
        <v>0.96808510638297873</v>
      </c>
      <c r="V9" s="1">
        <f t="shared" si="4"/>
        <v>0.97872340425531912</v>
      </c>
      <c r="W9" s="1">
        <f t="shared" si="4"/>
        <v>0.97872340425531912</v>
      </c>
      <c r="X9" s="1">
        <f t="shared" si="4"/>
        <v>0.97872340425531912</v>
      </c>
      <c r="Y9" s="1">
        <f t="shared" si="4"/>
        <v>0.97872340425531912</v>
      </c>
      <c r="Z9" s="1">
        <f t="shared" si="4"/>
        <v>0.95744680851063835</v>
      </c>
      <c r="AA9" s="1">
        <f t="shared" si="4"/>
        <v>0.96808510638297873</v>
      </c>
      <c r="AB9" s="1">
        <f t="shared" si="4"/>
        <v>0.96808510638297873</v>
      </c>
      <c r="AC9" s="1">
        <f t="shared" si="4"/>
        <v>0.96808510638297873</v>
      </c>
      <c r="AD9" s="1">
        <f t="shared" si="4"/>
        <v>0.97872340425531912</v>
      </c>
    </row>
    <row r="10" spans="1:30" x14ac:dyDescent="0.25">
      <c r="A10" t="s">
        <v>53</v>
      </c>
      <c r="B10" s="1">
        <f>B2/(B2+B4)</f>
        <v>0.85567010309278346</v>
      </c>
      <c r="C10" s="1">
        <f t="shared" ref="C10:AD10" si="5">C2/(C2+C4)</f>
        <v>0.85567010309278346</v>
      </c>
      <c r="D10" s="1">
        <f t="shared" si="5"/>
        <v>0.83168316831683164</v>
      </c>
      <c r="E10" s="1">
        <f t="shared" si="5"/>
        <v>0.81372549019607843</v>
      </c>
      <c r="F10" s="1">
        <f t="shared" si="5"/>
        <v>0.81730769230769229</v>
      </c>
      <c r="G10" s="1">
        <f t="shared" si="5"/>
        <v>0.80373831775700932</v>
      </c>
      <c r="H10" s="1">
        <f t="shared" si="5"/>
        <v>0.80373831775700932</v>
      </c>
      <c r="I10" s="1">
        <f t="shared" si="5"/>
        <v>0.81481481481481477</v>
      </c>
      <c r="J10" s="1">
        <f t="shared" si="5"/>
        <v>0.79816513761467889</v>
      </c>
      <c r="K10" s="1">
        <f t="shared" si="5"/>
        <v>0.7857142857142857</v>
      </c>
      <c r="L10" s="1">
        <f t="shared" si="5"/>
        <v>0.81308411214953269</v>
      </c>
      <c r="M10" s="1">
        <f t="shared" si="5"/>
        <v>0.80555555555555558</v>
      </c>
      <c r="N10" s="1">
        <f t="shared" si="5"/>
        <v>0.81308411214953269</v>
      </c>
      <c r="O10" s="1">
        <f t="shared" si="5"/>
        <v>0.82727272727272727</v>
      </c>
      <c r="P10" s="1">
        <f t="shared" si="5"/>
        <v>0.81981981981981977</v>
      </c>
      <c r="Q10" s="1">
        <f t="shared" si="5"/>
        <v>0.82568807339449546</v>
      </c>
      <c r="R10" s="1">
        <f t="shared" si="5"/>
        <v>0.81981981981981977</v>
      </c>
      <c r="S10" s="1">
        <f t="shared" si="5"/>
        <v>0.81981981981981977</v>
      </c>
      <c r="T10" s="1">
        <f t="shared" si="5"/>
        <v>0.84905660377358494</v>
      </c>
      <c r="U10" s="1">
        <f t="shared" si="5"/>
        <v>0.85849056603773588</v>
      </c>
      <c r="V10" s="1">
        <f t="shared" si="5"/>
        <v>0.88461538461538458</v>
      </c>
      <c r="W10" s="1">
        <f t="shared" si="5"/>
        <v>0.88461538461538458</v>
      </c>
      <c r="X10" s="1">
        <f t="shared" si="5"/>
        <v>0.86792452830188682</v>
      </c>
      <c r="Y10" s="1">
        <f t="shared" si="5"/>
        <v>0.88461538461538458</v>
      </c>
      <c r="Z10" s="1">
        <f t="shared" si="5"/>
        <v>0.8910891089108911</v>
      </c>
      <c r="AA10" s="1">
        <f t="shared" si="5"/>
        <v>0.89215686274509809</v>
      </c>
      <c r="AB10" s="1">
        <f t="shared" si="5"/>
        <v>0.89215686274509809</v>
      </c>
      <c r="AC10" s="1">
        <f t="shared" si="5"/>
        <v>0.88349514563106801</v>
      </c>
      <c r="AD10" s="1">
        <f t="shared" si="5"/>
        <v>0.89320388349514568</v>
      </c>
    </row>
    <row r="11" spans="1:30" x14ac:dyDescent="0.25">
      <c r="A11" t="s">
        <v>13</v>
      </c>
      <c r="B11" s="1">
        <f>2*B9*B10/(B9+B10)</f>
        <v>0.86910994764397909</v>
      </c>
      <c r="C11" s="1">
        <f t="shared" ref="C11:AD11" si="6">2*C9*C10/(C9+C10)</f>
        <v>0.86910994764397909</v>
      </c>
      <c r="D11" s="1">
        <f t="shared" si="6"/>
        <v>0.86153846153846148</v>
      </c>
      <c r="E11" s="1">
        <f t="shared" si="6"/>
        <v>0.84693877551020402</v>
      </c>
      <c r="F11" s="1">
        <f t="shared" si="6"/>
        <v>0.85858585858585867</v>
      </c>
      <c r="G11" s="1">
        <f t="shared" si="6"/>
        <v>0.85572139303482586</v>
      </c>
      <c r="H11" s="1">
        <f t="shared" si="6"/>
        <v>0.85572139303482586</v>
      </c>
      <c r="I11" s="1">
        <f t="shared" si="6"/>
        <v>0.87128712871287128</v>
      </c>
      <c r="J11" s="1">
        <f t="shared" si="6"/>
        <v>0.8571428571428571</v>
      </c>
      <c r="K11" s="1">
        <f t="shared" si="6"/>
        <v>0.85436893203883502</v>
      </c>
      <c r="L11" s="1">
        <f t="shared" si="6"/>
        <v>0.86567164179104472</v>
      </c>
      <c r="M11" s="1">
        <f t="shared" si="6"/>
        <v>0.86138613861386137</v>
      </c>
      <c r="N11" s="1">
        <f t="shared" si="6"/>
        <v>0.86567164179104472</v>
      </c>
      <c r="O11" s="1">
        <f t="shared" si="6"/>
        <v>0.8921568627450982</v>
      </c>
      <c r="P11" s="1">
        <f t="shared" si="6"/>
        <v>0.88780487804878039</v>
      </c>
      <c r="Q11" s="1">
        <f t="shared" si="6"/>
        <v>0.8866995073891627</v>
      </c>
      <c r="R11" s="1">
        <f t="shared" si="6"/>
        <v>0.88780487804878039</v>
      </c>
      <c r="S11" s="1">
        <f t="shared" si="6"/>
        <v>0.88780487804878039</v>
      </c>
      <c r="T11" s="1">
        <f t="shared" si="6"/>
        <v>0.9</v>
      </c>
      <c r="U11" s="1">
        <f t="shared" si="6"/>
        <v>0.91</v>
      </c>
      <c r="V11" s="1">
        <f t="shared" si="6"/>
        <v>0.92929292929292928</v>
      </c>
      <c r="W11" s="1">
        <f t="shared" si="6"/>
        <v>0.92929292929292928</v>
      </c>
      <c r="X11" s="1">
        <f t="shared" si="6"/>
        <v>0.91999999999999993</v>
      </c>
      <c r="Y11" s="1">
        <f t="shared" si="6"/>
        <v>0.92929292929292928</v>
      </c>
      <c r="Z11" s="1">
        <f t="shared" si="6"/>
        <v>0.92307692307692313</v>
      </c>
      <c r="AA11" s="1">
        <f t="shared" si="6"/>
        <v>0.9285714285714286</v>
      </c>
      <c r="AB11" s="1">
        <f t="shared" si="6"/>
        <v>0.9285714285714286</v>
      </c>
      <c r="AC11" s="1">
        <f t="shared" si="6"/>
        <v>0.92385786802030456</v>
      </c>
      <c r="AD11" s="1">
        <f t="shared" si="6"/>
        <v>0.93401015228426398</v>
      </c>
    </row>
    <row r="12" spans="1:30" x14ac:dyDescent="0.25">
      <c r="A12" t="s">
        <v>14</v>
      </c>
      <c r="B12" s="1">
        <f>B5/(B4+B5)</f>
        <v>0.86792452830188682</v>
      </c>
      <c r="C12" s="1">
        <f t="shared" ref="C12:AD12" si="7">C5/(C4+C5)</f>
        <v>0.86792452830188682</v>
      </c>
      <c r="D12" s="1">
        <f t="shared" si="7"/>
        <v>0.839622641509434</v>
      </c>
      <c r="E12" s="1">
        <f t="shared" si="7"/>
        <v>0.82075471698113212</v>
      </c>
      <c r="F12" s="1">
        <f t="shared" si="7"/>
        <v>0.82075471698113212</v>
      </c>
      <c r="G12" s="1">
        <f t="shared" si="7"/>
        <v>0.80188679245283023</v>
      </c>
      <c r="H12" s="1">
        <f t="shared" si="7"/>
        <v>0.80188679245283023</v>
      </c>
      <c r="I12" s="1">
        <f t="shared" si="7"/>
        <v>0.81132075471698117</v>
      </c>
      <c r="J12" s="1">
        <f t="shared" si="7"/>
        <v>0.79245283018867929</v>
      </c>
      <c r="K12" s="1">
        <f t="shared" si="7"/>
        <v>0.77358490566037741</v>
      </c>
      <c r="L12" s="1">
        <f t="shared" si="7"/>
        <v>0.81132075471698117</v>
      </c>
      <c r="M12" s="1">
        <f t="shared" si="7"/>
        <v>0.80188679245283023</v>
      </c>
      <c r="N12" s="1">
        <f t="shared" si="7"/>
        <v>0.81132075471698117</v>
      </c>
      <c r="O12" s="1">
        <f t="shared" si="7"/>
        <v>0.82075471698113212</v>
      </c>
      <c r="P12" s="1">
        <f t="shared" si="7"/>
        <v>0.81132075471698117</v>
      </c>
      <c r="Q12" s="1">
        <f t="shared" si="7"/>
        <v>0.82075471698113212</v>
      </c>
      <c r="R12" s="1">
        <f t="shared" si="7"/>
        <v>0.81132075471698117</v>
      </c>
      <c r="S12" s="1">
        <f t="shared" si="7"/>
        <v>0.81132075471698117</v>
      </c>
      <c r="T12" s="1">
        <f t="shared" si="7"/>
        <v>0.84905660377358494</v>
      </c>
      <c r="U12" s="1">
        <f t="shared" si="7"/>
        <v>0.85849056603773588</v>
      </c>
      <c r="V12" s="1">
        <f t="shared" si="7"/>
        <v>0.8867924528301887</v>
      </c>
      <c r="W12" s="1">
        <f t="shared" si="7"/>
        <v>0.8867924528301887</v>
      </c>
      <c r="X12" s="1">
        <f t="shared" si="7"/>
        <v>0.86792452830188682</v>
      </c>
      <c r="Y12" s="1">
        <f t="shared" si="7"/>
        <v>0.8867924528301887</v>
      </c>
      <c r="Z12" s="1">
        <f t="shared" si="7"/>
        <v>0.89622641509433965</v>
      </c>
      <c r="AA12" s="1">
        <f t="shared" si="7"/>
        <v>0.89622641509433965</v>
      </c>
      <c r="AB12" s="1">
        <f t="shared" si="7"/>
        <v>0.89622641509433965</v>
      </c>
      <c r="AC12" s="1">
        <f t="shared" si="7"/>
        <v>0.8867924528301887</v>
      </c>
      <c r="AD12" s="1">
        <f t="shared" si="7"/>
        <v>0.89622641509433965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30" zoomScaleNormal="130" workbookViewId="0">
      <selection activeCell="A25" sqref="A25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</row>
    <row r="2" spans="1:30" x14ac:dyDescent="0.25">
      <c r="A2" t="s">
        <v>17</v>
      </c>
      <c r="B2" s="1">
        <v>68</v>
      </c>
      <c r="C2" s="1">
        <v>68</v>
      </c>
      <c r="D2" s="1">
        <v>66</v>
      </c>
      <c r="E2" s="1">
        <v>62</v>
      </c>
      <c r="F2" s="1">
        <v>58</v>
      </c>
      <c r="G2" s="1">
        <v>57</v>
      </c>
      <c r="H2" s="1">
        <v>58</v>
      </c>
      <c r="I2" s="1">
        <v>59</v>
      </c>
      <c r="J2" s="1">
        <v>57</v>
      </c>
      <c r="K2" s="1">
        <v>60</v>
      </c>
      <c r="L2" s="1">
        <v>60</v>
      </c>
      <c r="M2" s="1">
        <v>60</v>
      </c>
      <c r="N2" s="1">
        <v>60</v>
      </c>
      <c r="O2" s="1">
        <v>60</v>
      </c>
      <c r="P2" s="1">
        <v>63</v>
      </c>
      <c r="Q2" s="2">
        <v>59</v>
      </c>
      <c r="R2" s="1">
        <v>63</v>
      </c>
      <c r="S2" s="1">
        <v>63</v>
      </c>
      <c r="T2" s="1">
        <v>65</v>
      </c>
      <c r="U2" s="1">
        <v>66</v>
      </c>
      <c r="V2" s="1">
        <v>66</v>
      </c>
      <c r="W2" s="1">
        <v>66</v>
      </c>
      <c r="X2" s="1">
        <v>67</v>
      </c>
      <c r="Y2" s="1">
        <v>66</v>
      </c>
      <c r="Z2" s="1">
        <v>67</v>
      </c>
      <c r="AA2" s="1">
        <v>66</v>
      </c>
      <c r="AB2" s="1">
        <v>67</v>
      </c>
      <c r="AC2" s="1">
        <v>68</v>
      </c>
      <c r="AD2" s="1">
        <v>68</v>
      </c>
    </row>
    <row r="3" spans="1:30" x14ac:dyDescent="0.25">
      <c r="A3" t="s">
        <v>18</v>
      </c>
      <c r="B3" s="1">
        <v>4</v>
      </c>
      <c r="C3" s="1">
        <v>4</v>
      </c>
      <c r="D3" s="1">
        <v>6</v>
      </c>
      <c r="E3" s="1">
        <v>10</v>
      </c>
      <c r="F3" s="1">
        <v>14</v>
      </c>
      <c r="G3" s="1">
        <v>15</v>
      </c>
      <c r="H3" s="1">
        <v>14</v>
      </c>
      <c r="I3" s="1">
        <v>13</v>
      </c>
      <c r="J3" s="1">
        <v>15</v>
      </c>
      <c r="K3" s="1">
        <v>12</v>
      </c>
      <c r="L3" s="1">
        <v>12</v>
      </c>
      <c r="M3" s="1">
        <v>12</v>
      </c>
      <c r="N3" s="1">
        <v>12</v>
      </c>
      <c r="O3" s="1">
        <v>12</v>
      </c>
      <c r="P3" s="1">
        <v>9</v>
      </c>
      <c r="Q3" s="2">
        <v>13</v>
      </c>
      <c r="R3" s="1">
        <v>9</v>
      </c>
      <c r="S3" s="1">
        <v>9</v>
      </c>
      <c r="T3" s="1">
        <v>7</v>
      </c>
      <c r="U3" s="1">
        <v>6</v>
      </c>
      <c r="V3" s="1">
        <v>6</v>
      </c>
      <c r="W3" s="1">
        <v>6</v>
      </c>
      <c r="X3" s="1">
        <v>5</v>
      </c>
      <c r="Y3" s="1">
        <v>6</v>
      </c>
      <c r="Z3" s="1">
        <v>5</v>
      </c>
      <c r="AA3" s="1">
        <v>6</v>
      </c>
      <c r="AB3" s="1">
        <v>5</v>
      </c>
      <c r="AC3" s="1">
        <v>4</v>
      </c>
      <c r="AD3" s="1">
        <v>4</v>
      </c>
    </row>
    <row r="4" spans="1:30" x14ac:dyDescent="0.25">
      <c r="A4" t="s">
        <v>19</v>
      </c>
      <c r="B4" s="1">
        <v>35</v>
      </c>
      <c r="C4" s="1">
        <v>35</v>
      </c>
      <c r="D4" s="1">
        <v>33</v>
      </c>
      <c r="E4" s="1">
        <v>27</v>
      </c>
      <c r="F4" s="1">
        <v>19</v>
      </c>
      <c r="G4" s="1">
        <v>23</v>
      </c>
      <c r="H4" s="1">
        <v>22</v>
      </c>
      <c r="I4" s="1">
        <v>20</v>
      </c>
      <c r="J4" s="1">
        <v>18</v>
      </c>
      <c r="K4" s="1">
        <v>20</v>
      </c>
      <c r="L4" s="1">
        <v>20</v>
      </c>
      <c r="M4" s="1">
        <v>19</v>
      </c>
      <c r="N4" s="1">
        <v>19</v>
      </c>
      <c r="O4" s="1">
        <v>18</v>
      </c>
      <c r="P4" s="1">
        <v>19</v>
      </c>
      <c r="Q4" s="2">
        <v>17</v>
      </c>
      <c r="R4" s="1">
        <v>19</v>
      </c>
      <c r="S4" s="1">
        <v>19</v>
      </c>
      <c r="T4" s="1">
        <v>20</v>
      </c>
      <c r="U4" s="1">
        <v>19</v>
      </c>
      <c r="V4" s="1">
        <v>20</v>
      </c>
      <c r="W4" s="1">
        <v>20</v>
      </c>
      <c r="X4" s="1">
        <v>19</v>
      </c>
      <c r="Y4" s="1">
        <v>21</v>
      </c>
      <c r="Z4" s="1">
        <v>21</v>
      </c>
      <c r="AA4" s="1">
        <v>21</v>
      </c>
      <c r="AB4" s="1">
        <v>21</v>
      </c>
      <c r="AC4" s="1">
        <v>21</v>
      </c>
      <c r="AD4" s="1">
        <v>22</v>
      </c>
    </row>
    <row r="5" spans="1:30" x14ac:dyDescent="0.25">
      <c r="A5" t="s">
        <v>12</v>
      </c>
      <c r="B5" s="1">
        <v>93</v>
      </c>
      <c r="C5" s="1">
        <v>93</v>
      </c>
      <c r="D5" s="1">
        <v>95</v>
      </c>
      <c r="E5" s="1">
        <v>101</v>
      </c>
      <c r="F5" s="1">
        <v>109</v>
      </c>
      <c r="G5" s="1">
        <v>105</v>
      </c>
      <c r="H5" s="1">
        <f>200-H2-H3-H4</f>
        <v>106</v>
      </c>
      <c r="I5" s="1">
        <f t="shared" ref="I5:AD5" si="0">200-I2-I3-I4</f>
        <v>108</v>
      </c>
      <c r="J5" s="1">
        <f t="shared" si="0"/>
        <v>110</v>
      </c>
      <c r="K5" s="1">
        <f t="shared" si="0"/>
        <v>108</v>
      </c>
      <c r="L5" s="1">
        <f t="shared" si="0"/>
        <v>108</v>
      </c>
      <c r="M5" s="1">
        <f t="shared" si="0"/>
        <v>109</v>
      </c>
      <c r="N5" s="1">
        <f t="shared" si="0"/>
        <v>109</v>
      </c>
      <c r="O5" s="1">
        <f t="shared" si="0"/>
        <v>110</v>
      </c>
      <c r="P5" s="1">
        <f t="shared" si="0"/>
        <v>109</v>
      </c>
      <c r="Q5" s="2">
        <f t="shared" si="0"/>
        <v>111</v>
      </c>
      <c r="R5" s="1">
        <f t="shared" si="0"/>
        <v>109</v>
      </c>
      <c r="S5" s="1">
        <f t="shared" si="0"/>
        <v>109</v>
      </c>
      <c r="T5" s="1">
        <f>200-T2-T3-T4</f>
        <v>108</v>
      </c>
      <c r="U5" s="1">
        <f t="shared" si="0"/>
        <v>109</v>
      </c>
      <c r="V5" s="1">
        <f t="shared" si="0"/>
        <v>108</v>
      </c>
      <c r="W5" s="1">
        <f t="shared" si="0"/>
        <v>108</v>
      </c>
      <c r="X5" s="1">
        <f t="shared" si="0"/>
        <v>109</v>
      </c>
      <c r="Y5" s="1">
        <f t="shared" si="0"/>
        <v>107</v>
      </c>
      <c r="Z5" s="1">
        <f t="shared" si="0"/>
        <v>107</v>
      </c>
      <c r="AA5" s="1">
        <f>200-AA2-AA3-AA4</f>
        <v>107</v>
      </c>
      <c r="AB5" s="1">
        <f t="shared" si="0"/>
        <v>107</v>
      </c>
      <c r="AC5" s="1">
        <f t="shared" si="0"/>
        <v>107</v>
      </c>
      <c r="AD5" s="1">
        <f t="shared" si="0"/>
        <v>106</v>
      </c>
    </row>
    <row r="6" spans="1:30" x14ac:dyDescent="0.25">
      <c r="A6" t="s">
        <v>15</v>
      </c>
      <c r="B6" s="1">
        <f t="shared" ref="B6:AD6" si="1">SUM(B2:B5)</f>
        <v>200</v>
      </c>
      <c r="C6" s="1">
        <f t="shared" si="1"/>
        <v>200</v>
      </c>
      <c r="D6" s="1">
        <f t="shared" si="1"/>
        <v>200</v>
      </c>
      <c r="E6" s="1">
        <f t="shared" si="1"/>
        <v>200</v>
      </c>
      <c r="F6" s="1">
        <f t="shared" si="1"/>
        <v>200</v>
      </c>
      <c r="G6" s="1">
        <f t="shared" si="1"/>
        <v>200</v>
      </c>
      <c r="H6" s="1">
        <f t="shared" si="1"/>
        <v>200</v>
      </c>
      <c r="I6" s="1">
        <f t="shared" si="1"/>
        <v>200</v>
      </c>
      <c r="J6" s="1">
        <f t="shared" si="1"/>
        <v>200</v>
      </c>
      <c r="K6" s="1">
        <f t="shared" si="1"/>
        <v>200</v>
      </c>
      <c r="L6" s="1">
        <f t="shared" si="1"/>
        <v>200</v>
      </c>
      <c r="M6" s="1">
        <f t="shared" si="1"/>
        <v>200</v>
      </c>
      <c r="N6" s="1">
        <f t="shared" si="1"/>
        <v>200</v>
      </c>
      <c r="O6" s="1">
        <f t="shared" si="1"/>
        <v>200</v>
      </c>
      <c r="P6" s="1">
        <f t="shared" si="1"/>
        <v>200</v>
      </c>
      <c r="Q6" s="2">
        <f t="shared" si="1"/>
        <v>200</v>
      </c>
      <c r="R6" s="1">
        <f t="shared" si="1"/>
        <v>200</v>
      </c>
      <c r="S6" s="1">
        <f t="shared" si="1"/>
        <v>200</v>
      </c>
      <c r="T6" s="1">
        <f t="shared" si="1"/>
        <v>200</v>
      </c>
      <c r="U6" s="1">
        <f t="shared" si="1"/>
        <v>200</v>
      </c>
      <c r="V6" s="1">
        <f t="shared" si="1"/>
        <v>200</v>
      </c>
      <c r="W6" s="1">
        <f t="shared" si="1"/>
        <v>200</v>
      </c>
      <c r="X6" s="1">
        <f t="shared" si="1"/>
        <v>200</v>
      </c>
      <c r="Y6" s="1">
        <f t="shared" si="1"/>
        <v>200</v>
      </c>
      <c r="Z6" s="1">
        <f t="shared" si="1"/>
        <v>200</v>
      </c>
      <c r="AA6" s="1">
        <f t="shared" si="1"/>
        <v>200</v>
      </c>
      <c r="AB6" s="1">
        <f t="shared" si="1"/>
        <v>200</v>
      </c>
      <c r="AC6" s="1">
        <f t="shared" si="1"/>
        <v>200</v>
      </c>
      <c r="AD6" s="1">
        <f t="shared" si="1"/>
        <v>200</v>
      </c>
    </row>
    <row r="7" spans="1:30" x14ac:dyDescent="0.25">
      <c r="A7" t="s">
        <v>0</v>
      </c>
      <c r="B7" s="1">
        <f>(B5+B2)/B6</f>
        <v>0.80500000000000005</v>
      </c>
      <c r="C7" s="1">
        <f t="shared" ref="C7:AD7" si="2">(C5+C2)/C6</f>
        <v>0.80500000000000005</v>
      </c>
      <c r="D7" s="1">
        <f t="shared" si="2"/>
        <v>0.80500000000000005</v>
      </c>
      <c r="E7" s="1">
        <f t="shared" si="2"/>
        <v>0.81499999999999995</v>
      </c>
      <c r="F7" s="1">
        <f t="shared" si="2"/>
        <v>0.83499999999999996</v>
      </c>
      <c r="G7" s="1">
        <f t="shared" si="2"/>
        <v>0.81</v>
      </c>
      <c r="H7" s="1">
        <f t="shared" si="2"/>
        <v>0.82</v>
      </c>
      <c r="I7" s="1">
        <f t="shared" si="2"/>
        <v>0.83499999999999996</v>
      </c>
      <c r="J7" s="1">
        <f t="shared" si="2"/>
        <v>0.83499999999999996</v>
      </c>
      <c r="K7" s="1">
        <f t="shared" si="2"/>
        <v>0.84</v>
      </c>
      <c r="L7" s="1">
        <f t="shared" si="2"/>
        <v>0.84</v>
      </c>
      <c r="M7" s="1">
        <f t="shared" si="2"/>
        <v>0.84499999999999997</v>
      </c>
      <c r="N7" s="1">
        <f t="shared" si="2"/>
        <v>0.84499999999999997</v>
      </c>
      <c r="O7" s="1">
        <f t="shared" si="2"/>
        <v>0.85</v>
      </c>
      <c r="P7" s="1">
        <f t="shared" si="2"/>
        <v>0.86</v>
      </c>
      <c r="Q7" s="2">
        <f t="shared" si="2"/>
        <v>0.85</v>
      </c>
      <c r="R7" s="1">
        <f t="shared" si="2"/>
        <v>0.86</v>
      </c>
      <c r="S7" s="1">
        <f t="shared" si="2"/>
        <v>0.86</v>
      </c>
      <c r="T7" s="1">
        <f t="shared" si="2"/>
        <v>0.86499999999999999</v>
      </c>
      <c r="U7" s="1">
        <f t="shared" si="2"/>
        <v>0.875</v>
      </c>
      <c r="V7" s="1">
        <f t="shared" si="2"/>
        <v>0.87</v>
      </c>
      <c r="W7" s="1">
        <f t="shared" si="2"/>
        <v>0.87</v>
      </c>
      <c r="X7" s="1">
        <f t="shared" si="2"/>
        <v>0.88</v>
      </c>
      <c r="Y7" s="1">
        <f t="shared" si="2"/>
        <v>0.86499999999999999</v>
      </c>
      <c r="Z7" s="1">
        <f t="shared" si="2"/>
        <v>0.87</v>
      </c>
      <c r="AA7" s="1">
        <f t="shared" si="2"/>
        <v>0.86499999999999999</v>
      </c>
      <c r="AB7" s="1">
        <f t="shared" si="2"/>
        <v>0.87</v>
      </c>
      <c r="AC7" s="1">
        <f t="shared" si="2"/>
        <v>0.875</v>
      </c>
      <c r="AD7" s="1">
        <f t="shared" si="2"/>
        <v>0.87</v>
      </c>
    </row>
    <row r="8" spans="1:30" x14ac:dyDescent="0.25">
      <c r="A8" t="s">
        <v>1</v>
      </c>
      <c r="B8" s="1">
        <f>1-B7</f>
        <v>0.19499999999999995</v>
      </c>
      <c r="C8" s="1">
        <f t="shared" ref="C8:AD8" si="3">1-C7</f>
        <v>0.19499999999999995</v>
      </c>
      <c r="D8" s="1">
        <f t="shared" si="3"/>
        <v>0.19499999999999995</v>
      </c>
      <c r="E8" s="1">
        <f t="shared" si="3"/>
        <v>0.18500000000000005</v>
      </c>
      <c r="F8" s="1">
        <f t="shared" si="3"/>
        <v>0.16500000000000004</v>
      </c>
      <c r="G8" s="1">
        <f t="shared" si="3"/>
        <v>0.18999999999999995</v>
      </c>
      <c r="H8" s="1">
        <f t="shared" si="3"/>
        <v>0.18000000000000005</v>
      </c>
      <c r="I8" s="1">
        <f t="shared" si="3"/>
        <v>0.16500000000000004</v>
      </c>
      <c r="J8" s="1">
        <f t="shared" si="3"/>
        <v>0.16500000000000004</v>
      </c>
      <c r="K8" s="1">
        <f t="shared" si="3"/>
        <v>0.16000000000000003</v>
      </c>
      <c r="L8" s="1">
        <f t="shared" si="3"/>
        <v>0.16000000000000003</v>
      </c>
      <c r="M8" s="1">
        <f t="shared" si="3"/>
        <v>0.15500000000000003</v>
      </c>
      <c r="N8" s="1">
        <f t="shared" si="3"/>
        <v>0.15500000000000003</v>
      </c>
      <c r="O8" s="1">
        <f t="shared" si="3"/>
        <v>0.15000000000000002</v>
      </c>
      <c r="P8" s="1">
        <f t="shared" si="3"/>
        <v>0.14000000000000001</v>
      </c>
      <c r="Q8" s="2">
        <f t="shared" si="3"/>
        <v>0.15000000000000002</v>
      </c>
      <c r="R8" s="1">
        <f t="shared" si="3"/>
        <v>0.14000000000000001</v>
      </c>
      <c r="S8" s="1">
        <f t="shared" si="3"/>
        <v>0.14000000000000001</v>
      </c>
      <c r="T8" s="1">
        <f t="shared" si="3"/>
        <v>0.13500000000000001</v>
      </c>
      <c r="U8" s="1">
        <f t="shared" si="3"/>
        <v>0.125</v>
      </c>
      <c r="V8" s="1">
        <f t="shared" si="3"/>
        <v>0.13</v>
      </c>
      <c r="W8" s="1">
        <f t="shared" si="3"/>
        <v>0.13</v>
      </c>
      <c r="X8" s="1">
        <f t="shared" si="3"/>
        <v>0.12</v>
      </c>
      <c r="Y8" s="1">
        <f t="shared" si="3"/>
        <v>0.13500000000000001</v>
      </c>
      <c r="Z8" s="1">
        <f t="shared" si="3"/>
        <v>0.13</v>
      </c>
      <c r="AA8" s="1">
        <f t="shared" si="3"/>
        <v>0.13500000000000001</v>
      </c>
      <c r="AB8" s="1">
        <f t="shared" si="3"/>
        <v>0.13</v>
      </c>
      <c r="AC8" s="1">
        <f t="shared" si="3"/>
        <v>0.125</v>
      </c>
      <c r="AD8" s="1">
        <f t="shared" si="3"/>
        <v>0.13</v>
      </c>
    </row>
    <row r="9" spans="1:30" x14ac:dyDescent="0.25">
      <c r="A9" t="s">
        <v>52</v>
      </c>
      <c r="B9" s="1">
        <f>B2/(B2+B3)</f>
        <v>0.94444444444444442</v>
      </c>
      <c r="C9" s="1">
        <f t="shared" ref="C9:AD9" si="4">C2/(C2+C3)</f>
        <v>0.94444444444444442</v>
      </c>
      <c r="D9" s="1">
        <f t="shared" si="4"/>
        <v>0.91666666666666663</v>
      </c>
      <c r="E9" s="1">
        <f t="shared" si="4"/>
        <v>0.86111111111111116</v>
      </c>
      <c r="F9" s="1">
        <f t="shared" si="4"/>
        <v>0.80555555555555558</v>
      </c>
      <c r="G9" s="1">
        <f t="shared" si="4"/>
        <v>0.79166666666666663</v>
      </c>
      <c r="H9" s="1">
        <f t="shared" si="4"/>
        <v>0.80555555555555558</v>
      </c>
      <c r="I9" s="1">
        <f t="shared" si="4"/>
        <v>0.81944444444444442</v>
      </c>
      <c r="J9" s="1">
        <f t="shared" si="4"/>
        <v>0.79166666666666663</v>
      </c>
      <c r="K9" s="1">
        <f t="shared" si="4"/>
        <v>0.83333333333333337</v>
      </c>
      <c r="L9" s="1">
        <f t="shared" si="4"/>
        <v>0.83333333333333337</v>
      </c>
      <c r="M9" s="1">
        <f t="shared" si="4"/>
        <v>0.83333333333333337</v>
      </c>
      <c r="N9" s="1">
        <f t="shared" si="4"/>
        <v>0.83333333333333337</v>
      </c>
      <c r="O9" s="1">
        <f t="shared" si="4"/>
        <v>0.83333333333333337</v>
      </c>
      <c r="P9" s="1">
        <f t="shared" si="4"/>
        <v>0.875</v>
      </c>
      <c r="Q9" s="2">
        <f t="shared" si="4"/>
        <v>0.81944444444444442</v>
      </c>
      <c r="R9" s="1">
        <f t="shared" si="4"/>
        <v>0.875</v>
      </c>
      <c r="S9" s="1">
        <f t="shared" si="4"/>
        <v>0.875</v>
      </c>
      <c r="T9" s="1">
        <f t="shared" si="4"/>
        <v>0.90277777777777779</v>
      </c>
      <c r="U9" s="1">
        <f t="shared" si="4"/>
        <v>0.91666666666666663</v>
      </c>
      <c r="V9" s="1">
        <f t="shared" si="4"/>
        <v>0.91666666666666663</v>
      </c>
      <c r="W9" s="1">
        <f t="shared" si="4"/>
        <v>0.91666666666666663</v>
      </c>
      <c r="X9" s="1">
        <f t="shared" si="4"/>
        <v>0.93055555555555558</v>
      </c>
      <c r="Y9" s="1">
        <f t="shared" si="4"/>
        <v>0.91666666666666663</v>
      </c>
      <c r="Z9" s="1">
        <f t="shared" si="4"/>
        <v>0.93055555555555558</v>
      </c>
      <c r="AA9" s="1">
        <f t="shared" si="4"/>
        <v>0.91666666666666663</v>
      </c>
      <c r="AB9" s="1">
        <f t="shared" si="4"/>
        <v>0.93055555555555558</v>
      </c>
      <c r="AC9" s="1">
        <f t="shared" si="4"/>
        <v>0.94444444444444442</v>
      </c>
      <c r="AD9" s="1">
        <f t="shared" si="4"/>
        <v>0.94444444444444442</v>
      </c>
    </row>
    <row r="10" spans="1:30" x14ac:dyDescent="0.25">
      <c r="A10" t="s">
        <v>53</v>
      </c>
      <c r="B10" s="1">
        <f>B2/(B2+B4)</f>
        <v>0.66019417475728159</v>
      </c>
      <c r="C10" s="1">
        <f t="shared" ref="C10:AD10" si="5">C2/(C2+C4)</f>
        <v>0.66019417475728159</v>
      </c>
      <c r="D10" s="1">
        <f t="shared" si="5"/>
        <v>0.66666666666666663</v>
      </c>
      <c r="E10" s="1">
        <f t="shared" si="5"/>
        <v>0.6966292134831461</v>
      </c>
      <c r="F10" s="1">
        <f t="shared" si="5"/>
        <v>0.75324675324675328</v>
      </c>
      <c r="G10" s="1">
        <f t="shared" si="5"/>
        <v>0.71250000000000002</v>
      </c>
      <c r="H10" s="1">
        <f t="shared" si="5"/>
        <v>0.72499999999999998</v>
      </c>
      <c r="I10" s="1">
        <f t="shared" si="5"/>
        <v>0.74683544303797467</v>
      </c>
      <c r="J10" s="1">
        <f t="shared" si="5"/>
        <v>0.76</v>
      </c>
      <c r="K10" s="1">
        <f t="shared" si="5"/>
        <v>0.75</v>
      </c>
      <c r="L10" s="1">
        <f t="shared" si="5"/>
        <v>0.75</v>
      </c>
      <c r="M10" s="1">
        <f t="shared" si="5"/>
        <v>0.759493670886076</v>
      </c>
      <c r="N10" s="1">
        <f t="shared" si="5"/>
        <v>0.759493670886076</v>
      </c>
      <c r="O10" s="1">
        <f t="shared" si="5"/>
        <v>0.76923076923076927</v>
      </c>
      <c r="P10" s="1">
        <f t="shared" si="5"/>
        <v>0.76829268292682928</v>
      </c>
      <c r="Q10" s="2">
        <f t="shared" si="5"/>
        <v>0.77631578947368418</v>
      </c>
      <c r="R10" s="1">
        <f t="shared" si="5"/>
        <v>0.76829268292682928</v>
      </c>
      <c r="S10" s="1">
        <f t="shared" si="5"/>
        <v>0.76829268292682928</v>
      </c>
      <c r="T10" s="1">
        <f t="shared" si="5"/>
        <v>0.76470588235294112</v>
      </c>
      <c r="U10" s="1">
        <f t="shared" si="5"/>
        <v>0.77647058823529413</v>
      </c>
      <c r="V10" s="1">
        <f t="shared" si="5"/>
        <v>0.76744186046511631</v>
      </c>
      <c r="W10" s="1">
        <f t="shared" si="5"/>
        <v>0.76744186046511631</v>
      </c>
      <c r="X10" s="1">
        <f t="shared" si="5"/>
        <v>0.77906976744186052</v>
      </c>
      <c r="Y10" s="1">
        <f t="shared" si="5"/>
        <v>0.75862068965517238</v>
      </c>
      <c r="Z10" s="1">
        <f t="shared" si="5"/>
        <v>0.76136363636363635</v>
      </c>
      <c r="AA10" s="1">
        <f t="shared" si="5"/>
        <v>0.75862068965517238</v>
      </c>
      <c r="AB10" s="1">
        <f t="shared" si="5"/>
        <v>0.76136363636363635</v>
      </c>
      <c r="AC10" s="1">
        <f t="shared" si="5"/>
        <v>0.7640449438202247</v>
      </c>
      <c r="AD10" s="1">
        <f t="shared" si="5"/>
        <v>0.75555555555555554</v>
      </c>
    </row>
    <row r="11" spans="1:30" x14ac:dyDescent="0.25">
      <c r="A11" t="s">
        <v>13</v>
      </c>
      <c r="B11" s="1">
        <f>2*B9*B10/(B9+B10)</f>
        <v>0.77714285714285714</v>
      </c>
      <c r="C11" s="1">
        <f t="shared" ref="C11:AD11" si="6">2*C9*C10/(C9+C10)</f>
        <v>0.77714285714285714</v>
      </c>
      <c r="D11" s="1">
        <f t="shared" si="6"/>
        <v>0.77192982456140347</v>
      </c>
      <c r="E11" s="1">
        <f t="shared" si="6"/>
        <v>0.77018633540372672</v>
      </c>
      <c r="F11" s="1">
        <f t="shared" si="6"/>
        <v>0.778523489932886</v>
      </c>
      <c r="G11" s="1">
        <f t="shared" si="6"/>
        <v>0.75</v>
      </c>
      <c r="H11" s="1">
        <f t="shared" si="6"/>
        <v>0.76315789473684226</v>
      </c>
      <c r="I11" s="1">
        <f t="shared" si="6"/>
        <v>0.78145695364238399</v>
      </c>
      <c r="J11" s="1">
        <f t="shared" si="6"/>
        <v>0.77551020408163263</v>
      </c>
      <c r="K11" s="1">
        <f t="shared" si="6"/>
        <v>0.78947368421052622</v>
      </c>
      <c r="L11" s="1">
        <f t="shared" si="6"/>
        <v>0.78947368421052622</v>
      </c>
      <c r="M11" s="1">
        <f t="shared" si="6"/>
        <v>0.79470198675496684</v>
      </c>
      <c r="N11" s="1">
        <f t="shared" si="6"/>
        <v>0.79470198675496684</v>
      </c>
      <c r="O11" s="1">
        <f t="shared" si="6"/>
        <v>0.8</v>
      </c>
      <c r="P11" s="1">
        <f t="shared" si="6"/>
        <v>0.81818181818181812</v>
      </c>
      <c r="Q11" s="2">
        <f t="shared" si="6"/>
        <v>0.79729729729729726</v>
      </c>
      <c r="R11" s="1">
        <f t="shared" si="6"/>
        <v>0.81818181818181812</v>
      </c>
      <c r="S11" s="1">
        <f t="shared" si="6"/>
        <v>0.81818181818181812</v>
      </c>
      <c r="T11" s="1">
        <f t="shared" si="6"/>
        <v>0.82802547770700641</v>
      </c>
      <c r="U11" s="1">
        <f t="shared" si="6"/>
        <v>0.84076433121019112</v>
      </c>
      <c r="V11" s="1">
        <f t="shared" si="6"/>
        <v>0.83544303797468367</v>
      </c>
      <c r="W11" s="1">
        <f t="shared" si="6"/>
        <v>0.83544303797468367</v>
      </c>
      <c r="X11" s="1">
        <f t="shared" si="6"/>
        <v>0.84810126582278478</v>
      </c>
      <c r="Y11" s="1">
        <f t="shared" si="6"/>
        <v>0.83018867924528295</v>
      </c>
      <c r="Z11" s="1">
        <f t="shared" si="6"/>
        <v>0.83750000000000002</v>
      </c>
      <c r="AA11" s="1">
        <f t="shared" si="6"/>
        <v>0.83018867924528295</v>
      </c>
      <c r="AB11" s="1">
        <f t="shared" si="6"/>
        <v>0.83750000000000002</v>
      </c>
      <c r="AC11" s="1">
        <f t="shared" si="6"/>
        <v>0.84472049689440998</v>
      </c>
      <c r="AD11" s="1">
        <f t="shared" si="6"/>
        <v>0.83950617283950624</v>
      </c>
    </row>
    <row r="12" spans="1:30" x14ac:dyDescent="0.25">
      <c r="A12" t="s">
        <v>14</v>
      </c>
      <c r="B12" s="1">
        <f>B5/(B4+B5)</f>
        <v>0.7265625</v>
      </c>
      <c r="C12" s="1">
        <f t="shared" ref="C12:AD12" si="7">C5/(C4+C5)</f>
        <v>0.7265625</v>
      </c>
      <c r="D12" s="1">
        <f t="shared" si="7"/>
        <v>0.7421875</v>
      </c>
      <c r="E12" s="1">
        <f t="shared" si="7"/>
        <v>0.7890625</v>
      </c>
      <c r="F12" s="1">
        <f t="shared" si="7"/>
        <v>0.8515625</v>
      </c>
      <c r="G12" s="1">
        <f t="shared" si="7"/>
        <v>0.8203125</v>
      </c>
      <c r="H12" s="1">
        <f t="shared" si="7"/>
        <v>0.828125</v>
      </c>
      <c r="I12" s="1">
        <f t="shared" si="7"/>
        <v>0.84375</v>
      </c>
      <c r="J12" s="1">
        <f t="shared" si="7"/>
        <v>0.859375</v>
      </c>
      <c r="K12" s="1">
        <f t="shared" si="7"/>
        <v>0.84375</v>
      </c>
      <c r="L12" s="1">
        <f t="shared" si="7"/>
        <v>0.84375</v>
      </c>
      <c r="M12" s="1">
        <f t="shared" si="7"/>
        <v>0.8515625</v>
      </c>
      <c r="N12" s="1">
        <f t="shared" si="7"/>
        <v>0.8515625</v>
      </c>
      <c r="O12" s="1">
        <f t="shared" si="7"/>
        <v>0.859375</v>
      </c>
      <c r="P12" s="1">
        <f t="shared" si="7"/>
        <v>0.8515625</v>
      </c>
      <c r="Q12" s="2">
        <f t="shared" si="7"/>
        <v>0.8671875</v>
      </c>
      <c r="R12" s="1">
        <f t="shared" si="7"/>
        <v>0.8515625</v>
      </c>
      <c r="S12" s="1">
        <f t="shared" si="7"/>
        <v>0.8515625</v>
      </c>
      <c r="T12" s="1">
        <f t="shared" si="7"/>
        <v>0.84375</v>
      </c>
      <c r="U12" s="1">
        <f t="shared" si="7"/>
        <v>0.8515625</v>
      </c>
      <c r="V12" s="1">
        <f t="shared" si="7"/>
        <v>0.84375</v>
      </c>
      <c r="W12" s="1">
        <f t="shared" si="7"/>
        <v>0.84375</v>
      </c>
      <c r="X12" s="1">
        <f t="shared" si="7"/>
        <v>0.8515625</v>
      </c>
      <c r="Y12" s="1">
        <f t="shared" si="7"/>
        <v>0.8359375</v>
      </c>
      <c r="Z12" s="1">
        <f t="shared" si="7"/>
        <v>0.8359375</v>
      </c>
      <c r="AA12" s="1">
        <f t="shared" si="7"/>
        <v>0.8359375</v>
      </c>
      <c r="AB12" s="1">
        <f t="shared" si="7"/>
        <v>0.8359375</v>
      </c>
      <c r="AC12" s="1">
        <f t="shared" si="7"/>
        <v>0.8359375</v>
      </c>
      <c r="AD12" s="1">
        <f t="shared" si="7"/>
        <v>0.828125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AE22" sqref="AE22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2</v>
      </c>
      <c r="F2" s="1">
        <v>8</v>
      </c>
      <c r="G2" s="1">
        <v>6</v>
      </c>
      <c r="H2" s="1">
        <v>6</v>
      </c>
      <c r="I2" s="1">
        <v>6</v>
      </c>
      <c r="J2" s="1">
        <v>7</v>
      </c>
      <c r="K2" s="1">
        <v>2</v>
      </c>
      <c r="L2" s="1">
        <v>4</v>
      </c>
      <c r="M2" s="1">
        <v>4</v>
      </c>
      <c r="N2" s="1">
        <v>5</v>
      </c>
      <c r="O2" s="1">
        <v>4</v>
      </c>
      <c r="P2" s="1">
        <v>2</v>
      </c>
      <c r="Q2" s="1">
        <v>4</v>
      </c>
      <c r="R2" s="1">
        <v>2</v>
      </c>
      <c r="S2" s="1">
        <v>2</v>
      </c>
      <c r="T2" s="1">
        <v>4</v>
      </c>
      <c r="U2" s="1">
        <v>4</v>
      </c>
      <c r="V2" s="1">
        <v>5</v>
      </c>
      <c r="W2" s="1">
        <v>5</v>
      </c>
      <c r="X2" s="1">
        <v>4</v>
      </c>
      <c r="Y2" s="1">
        <v>4</v>
      </c>
      <c r="Z2" s="1">
        <v>5</v>
      </c>
      <c r="AA2" s="1">
        <v>5</v>
      </c>
      <c r="AB2" s="1">
        <v>5</v>
      </c>
      <c r="AC2" s="1">
        <v>4</v>
      </c>
      <c r="AD2" s="1">
        <v>4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32</v>
      </c>
      <c r="F3" s="1">
        <v>26</v>
      </c>
      <c r="G3" s="1">
        <v>28</v>
      </c>
      <c r="H3" s="1">
        <v>28</v>
      </c>
      <c r="I3" s="1">
        <v>28</v>
      </c>
      <c r="J3" s="1">
        <v>27</v>
      </c>
      <c r="K3" s="1">
        <v>27</v>
      </c>
      <c r="L3" s="1">
        <v>30</v>
      </c>
      <c r="M3" s="1">
        <v>30</v>
      </c>
      <c r="N3" s="1">
        <v>29</v>
      </c>
      <c r="O3" s="1">
        <v>30</v>
      </c>
      <c r="P3" s="1">
        <v>32</v>
      </c>
      <c r="Q3" s="1">
        <v>30</v>
      </c>
      <c r="R3" s="1">
        <v>32</v>
      </c>
      <c r="S3" s="1">
        <v>32</v>
      </c>
      <c r="T3" s="1">
        <v>30</v>
      </c>
      <c r="U3" s="1">
        <v>30</v>
      </c>
      <c r="V3" s="1">
        <v>29</v>
      </c>
      <c r="W3" s="1">
        <v>29</v>
      </c>
      <c r="X3" s="1">
        <v>30</v>
      </c>
      <c r="Y3" s="1">
        <v>30</v>
      </c>
      <c r="Z3" s="1">
        <v>29</v>
      </c>
      <c r="AA3" s="1">
        <v>29</v>
      </c>
      <c r="AB3" s="1">
        <v>29</v>
      </c>
      <c r="AC3" s="1">
        <v>30</v>
      </c>
      <c r="AD3" s="1">
        <v>30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7</v>
      </c>
      <c r="F4" s="1">
        <v>11</v>
      </c>
      <c r="G4" s="1">
        <v>7</v>
      </c>
      <c r="H4" s="1">
        <v>7</v>
      </c>
      <c r="I4" s="1">
        <v>7</v>
      </c>
      <c r="J4" s="1">
        <v>9</v>
      </c>
      <c r="K4" s="1">
        <v>6</v>
      </c>
      <c r="L4" s="1">
        <v>9</v>
      </c>
      <c r="M4" s="1">
        <v>9</v>
      </c>
      <c r="N4" s="1">
        <v>9</v>
      </c>
      <c r="O4" s="1">
        <v>8</v>
      </c>
      <c r="P4" s="1">
        <v>5</v>
      </c>
      <c r="Q4" s="1">
        <v>11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4</v>
      </c>
      <c r="Y4" s="1">
        <v>5</v>
      </c>
      <c r="Z4" s="1">
        <v>6</v>
      </c>
      <c r="AA4" s="1">
        <v>6</v>
      </c>
      <c r="AB4" s="1">
        <v>5</v>
      </c>
      <c r="AC4" s="1">
        <v>4</v>
      </c>
      <c r="AD4" s="1">
        <v>3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159</v>
      </c>
      <c r="F5" s="1">
        <f t="shared" si="0"/>
        <v>155</v>
      </c>
      <c r="G5" s="1">
        <f t="shared" si="0"/>
        <v>159</v>
      </c>
      <c r="H5" s="1">
        <f>200-H2-H3-H4</f>
        <v>159</v>
      </c>
      <c r="I5" s="1">
        <f t="shared" ref="I5:AD5" si="1">200-I2-I3-I4</f>
        <v>159</v>
      </c>
      <c r="J5" s="1">
        <f t="shared" si="1"/>
        <v>157</v>
      </c>
      <c r="K5" s="1">
        <f t="shared" si="1"/>
        <v>165</v>
      </c>
      <c r="L5" s="1">
        <f t="shared" si="1"/>
        <v>157</v>
      </c>
      <c r="M5" s="1">
        <f t="shared" si="1"/>
        <v>157</v>
      </c>
      <c r="N5" s="1">
        <f t="shared" si="1"/>
        <v>157</v>
      </c>
      <c r="O5" s="1">
        <f t="shared" si="1"/>
        <v>158</v>
      </c>
      <c r="P5" s="1">
        <f t="shared" si="1"/>
        <v>161</v>
      </c>
      <c r="Q5" s="1">
        <f t="shared" si="1"/>
        <v>155</v>
      </c>
      <c r="R5" s="1">
        <f t="shared" si="1"/>
        <v>161</v>
      </c>
      <c r="S5" s="1">
        <f t="shared" si="1"/>
        <v>161</v>
      </c>
      <c r="T5" s="1">
        <f>200-T2-T3-T4</f>
        <v>161</v>
      </c>
      <c r="U5" s="1">
        <f t="shared" si="1"/>
        <v>161</v>
      </c>
      <c r="V5" s="1">
        <f t="shared" si="1"/>
        <v>161</v>
      </c>
      <c r="W5" s="1">
        <f t="shared" si="1"/>
        <v>161</v>
      </c>
      <c r="X5" s="1">
        <f t="shared" si="1"/>
        <v>162</v>
      </c>
      <c r="Y5" s="1">
        <f t="shared" si="1"/>
        <v>161</v>
      </c>
      <c r="Z5" s="1">
        <f t="shared" si="1"/>
        <v>160</v>
      </c>
      <c r="AA5" s="1">
        <f>200-AA2-AA3-AA4</f>
        <v>160</v>
      </c>
      <c r="AB5" s="1">
        <f t="shared" si="1"/>
        <v>161</v>
      </c>
      <c r="AC5" s="1">
        <f t="shared" si="1"/>
        <v>162</v>
      </c>
      <c r="AD5" s="1">
        <f t="shared" si="1"/>
        <v>163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0.80500000000000005</v>
      </c>
      <c r="F7" s="1">
        <f t="shared" si="3"/>
        <v>0.81499999999999995</v>
      </c>
      <c r="G7" s="1">
        <f t="shared" si="3"/>
        <v>0.82499999999999996</v>
      </c>
      <c r="H7" s="1">
        <f t="shared" si="3"/>
        <v>0.82499999999999996</v>
      </c>
      <c r="I7" s="1">
        <f t="shared" si="3"/>
        <v>0.82499999999999996</v>
      </c>
      <c r="J7" s="1">
        <f t="shared" si="3"/>
        <v>0.82</v>
      </c>
      <c r="K7" s="1">
        <f t="shared" si="3"/>
        <v>0.83499999999999996</v>
      </c>
      <c r="L7" s="1">
        <f t="shared" si="3"/>
        <v>0.80500000000000005</v>
      </c>
      <c r="M7" s="1">
        <f t="shared" si="3"/>
        <v>0.80500000000000005</v>
      </c>
      <c r="N7" s="1">
        <f t="shared" si="3"/>
        <v>0.81</v>
      </c>
      <c r="O7" s="1">
        <f t="shared" si="3"/>
        <v>0.81</v>
      </c>
      <c r="P7" s="1">
        <f t="shared" si="3"/>
        <v>0.81499999999999995</v>
      </c>
      <c r="Q7" s="1">
        <f t="shared" si="3"/>
        <v>0.79500000000000004</v>
      </c>
      <c r="R7" s="1">
        <f t="shared" si="3"/>
        <v>0.81499999999999995</v>
      </c>
      <c r="S7" s="1">
        <f t="shared" si="3"/>
        <v>0.81499999999999995</v>
      </c>
      <c r="T7" s="1">
        <f t="shared" si="3"/>
        <v>0.82499999999999996</v>
      </c>
      <c r="U7" s="1">
        <f t="shared" si="3"/>
        <v>0.82499999999999996</v>
      </c>
      <c r="V7" s="1">
        <f t="shared" si="3"/>
        <v>0.83</v>
      </c>
      <c r="W7" s="1">
        <f t="shared" si="3"/>
        <v>0.83</v>
      </c>
      <c r="X7" s="1">
        <f t="shared" si="3"/>
        <v>0.83</v>
      </c>
      <c r="Y7" s="1">
        <f t="shared" si="3"/>
        <v>0.82499999999999996</v>
      </c>
      <c r="Z7" s="1">
        <f t="shared" si="3"/>
        <v>0.82499999999999996</v>
      </c>
      <c r="AA7" s="1">
        <f t="shared" si="3"/>
        <v>0.82499999999999996</v>
      </c>
      <c r="AB7" s="1">
        <f t="shared" si="3"/>
        <v>0.83</v>
      </c>
      <c r="AC7" s="1">
        <f t="shared" si="3"/>
        <v>0.83</v>
      </c>
      <c r="AD7" s="1">
        <f t="shared" si="3"/>
        <v>0.83499999999999996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0.19499999999999995</v>
      </c>
      <c r="F8" s="1">
        <f t="shared" si="4"/>
        <v>0.18500000000000005</v>
      </c>
      <c r="G8" s="1">
        <f t="shared" si="4"/>
        <v>0.17500000000000004</v>
      </c>
      <c r="H8" s="1">
        <f t="shared" si="4"/>
        <v>0.17500000000000004</v>
      </c>
      <c r="I8" s="1">
        <f t="shared" si="4"/>
        <v>0.17500000000000004</v>
      </c>
      <c r="J8" s="1">
        <f t="shared" si="4"/>
        <v>0.18000000000000005</v>
      </c>
      <c r="K8" s="1">
        <f t="shared" si="4"/>
        <v>0.16500000000000004</v>
      </c>
      <c r="L8" s="1">
        <f t="shared" si="4"/>
        <v>0.19499999999999995</v>
      </c>
      <c r="M8" s="1">
        <f t="shared" si="4"/>
        <v>0.19499999999999995</v>
      </c>
      <c r="N8" s="1">
        <f t="shared" si="4"/>
        <v>0.18999999999999995</v>
      </c>
      <c r="O8" s="1">
        <f t="shared" si="4"/>
        <v>0.18999999999999995</v>
      </c>
      <c r="P8" s="1">
        <f t="shared" si="4"/>
        <v>0.18500000000000005</v>
      </c>
      <c r="Q8" s="1">
        <f t="shared" si="4"/>
        <v>0.20499999999999996</v>
      </c>
      <c r="R8" s="1">
        <f t="shared" si="4"/>
        <v>0.18500000000000005</v>
      </c>
      <c r="S8" s="1">
        <f t="shared" si="4"/>
        <v>0.18500000000000005</v>
      </c>
      <c r="T8" s="1">
        <f t="shared" si="4"/>
        <v>0.17500000000000004</v>
      </c>
      <c r="U8" s="1">
        <f t="shared" si="4"/>
        <v>0.17500000000000004</v>
      </c>
      <c r="V8" s="1">
        <f t="shared" si="4"/>
        <v>0.17000000000000004</v>
      </c>
      <c r="W8" s="1">
        <f t="shared" si="4"/>
        <v>0.17000000000000004</v>
      </c>
      <c r="X8" s="1">
        <f t="shared" si="4"/>
        <v>0.17000000000000004</v>
      </c>
      <c r="Y8" s="1">
        <f t="shared" si="4"/>
        <v>0.17500000000000004</v>
      </c>
      <c r="Z8" s="1">
        <f t="shared" si="4"/>
        <v>0.17500000000000004</v>
      </c>
      <c r="AA8" s="1">
        <f t="shared" si="4"/>
        <v>0.17500000000000004</v>
      </c>
      <c r="AB8" s="1">
        <f t="shared" si="4"/>
        <v>0.17000000000000004</v>
      </c>
      <c r="AC8" s="1">
        <f t="shared" si="4"/>
        <v>0.17000000000000004</v>
      </c>
      <c r="AD8" s="1">
        <f t="shared" si="4"/>
        <v>0.16500000000000004</v>
      </c>
    </row>
    <row r="9" spans="1:30" x14ac:dyDescent="0.25">
      <c r="A9" t="s">
        <v>52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5.8823529411764705E-2</v>
      </c>
      <c r="F9" s="1">
        <f t="shared" si="5"/>
        <v>0.23529411764705882</v>
      </c>
      <c r="G9" s="1">
        <f t="shared" si="5"/>
        <v>0.17647058823529413</v>
      </c>
      <c r="H9" s="1">
        <f t="shared" si="5"/>
        <v>0.17647058823529413</v>
      </c>
      <c r="I9" s="1">
        <f t="shared" si="5"/>
        <v>0.17647058823529413</v>
      </c>
      <c r="J9" s="1">
        <f t="shared" si="5"/>
        <v>0.20588235294117646</v>
      </c>
      <c r="K9" s="1">
        <f t="shared" si="5"/>
        <v>6.8965517241379309E-2</v>
      </c>
      <c r="L9" s="1">
        <f t="shared" si="5"/>
        <v>0.11764705882352941</v>
      </c>
      <c r="M9" s="1">
        <f t="shared" si="5"/>
        <v>0.11764705882352941</v>
      </c>
      <c r="N9" s="1">
        <f t="shared" si="5"/>
        <v>0.14705882352941177</v>
      </c>
      <c r="O9" s="1">
        <f t="shared" si="5"/>
        <v>0.11764705882352941</v>
      </c>
      <c r="P9" s="1">
        <f t="shared" si="5"/>
        <v>5.8823529411764705E-2</v>
      </c>
      <c r="Q9" s="1">
        <f t="shared" si="5"/>
        <v>0.11764705882352941</v>
      </c>
      <c r="R9" s="1">
        <f t="shared" si="5"/>
        <v>5.8823529411764705E-2</v>
      </c>
      <c r="S9" s="1">
        <f t="shared" si="5"/>
        <v>5.8823529411764705E-2</v>
      </c>
      <c r="T9" s="1">
        <f t="shared" si="5"/>
        <v>0.11764705882352941</v>
      </c>
      <c r="U9" s="1">
        <f t="shared" si="5"/>
        <v>0.11764705882352941</v>
      </c>
      <c r="V9" s="1">
        <f t="shared" si="5"/>
        <v>0.14705882352941177</v>
      </c>
      <c r="W9" s="1">
        <f t="shared" si="5"/>
        <v>0.14705882352941177</v>
      </c>
      <c r="X9" s="1">
        <f t="shared" si="5"/>
        <v>0.11764705882352941</v>
      </c>
      <c r="Y9" s="1">
        <f t="shared" si="5"/>
        <v>0.11764705882352941</v>
      </c>
      <c r="Z9" s="1">
        <f t="shared" si="5"/>
        <v>0.14705882352941177</v>
      </c>
      <c r="AA9" s="1">
        <f t="shared" si="5"/>
        <v>0.14705882352941177</v>
      </c>
      <c r="AB9" s="1">
        <f t="shared" si="5"/>
        <v>0.14705882352941177</v>
      </c>
      <c r="AC9" s="1">
        <f t="shared" si="5"/>
        <v>0.11764705882352941</v>
      </c>
      <c r="AD9" s="1">
        <f t="shared" si="5"/>
        <v>0.11764705882352941</v>
      </c>
    </row>
    <row r="10" spans="1:30" x14ac:dyDescent="0.25">
      <c r="A10" t="s">
        <v>53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>
        <f t="shared" si="6"/>
        <v>0.22222222222222221</v>
      </c>
      <c r="F10" s="1">
        <f t="shared" si="6"/>
        <v>0.42105263157894735</v>
      </c>
      <c r="G10" s="1">
        <f t="shared" si="6"/>
        <v>0.46153846153846156</v>
      </c>
      <c r="H10" s="1">
        <f t="shared" si="6"/>
        <v>0.46153846153846156</v>
      </c>
      <c r="I10" s="1">
        <f t="shared" si="6"/>
        <v>0.46153846153846156</v>
      </c>
      <c r="J10" s="1">
        <f t="shared" si="6"/>
        <v>0.4375</v>
      </c>
      <c r="K10" s="1">
        <f t="shared" si="6"/>
        <v>0.25</v>
      </c>
      <c r="L10" s="1">
        <f t="shared" si="6"/>
        <v>0.30769230769230771</v>
      </c>
      <c r="M10" s="1">
        <f t="shared" si="6"/>
        <v>0.30769230769230771</v>
      </c>
      <c r="N10" s="1">
        <f t="shared" si="6"/>
        <v>0.35714285714285715</v>
      </c>
      <c r="O10" s="1">
        <f t="shared" si="6"/>
        <v>0.33333333333333331</v>
      </c>
      <c r="P10" s="1">
        <f t="shared" si="6"/>
        <v>0.2857142857142857</v>
      </c>
      <c r="Q10" s="1">
        <f t="shared" si="6"/>
        <v>0.26666666666666666</v>
      </c>
      <c r="R10" s="1">
        <f t="shared" si="6"/>
        <v>0.2857142857142857</v>
      </c>
      <c r="S10" s="1">
        <f t="shared" si="6"/>
        <v>0.2857142857142857</v>
      </c>
      <c r="T10" s="1">
        <f t="shared" si="6"/>
        <v>0.44444444444444442</v>
      </c>
      <c r="U10" s="1">
        <f t="shared" si="6"/>
        <v>0.44444444444444442</v>
      </c>
      <c r="V10" s="1">
        <f t="shared" si="6"/>
        <v>0.5</v>
      </c>
      <c r="W10" s="1">
        <f t="shared" si="6"/>
        <v>0.5</v>
      </c>
      <c r="X10" s="1">
        <f t="shared" si="6"/>
        <v>0.5</v>
      </c>
      <c r="Y10" s="1">
        <f t="shared" si="6"/>
        <v>0.44444444444444442</v>
      </c>
      <c r="Z10" s="1">
        <f t="shared" si="6"/>
        <v>0.45454545454545453</v>
      </c>
      <c r="AA10" s="1">
        <f t="shared" si="6"/>
        <v>0.45454545454545453</v>
      </c>
      <c r="AB10" s="1">
        <f t="shared" si="6"/>
        <v>0.5</v>
      </c>
      <c r="AC10" s="1">
        <f t="shared" si="6"/>
        <v>0.5</v>
      </c>
      <c r="AD10" s="1">
        <f t="shared" si="6"/>
        <v>0.5714285714285714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>
        <f t="shared" si="7"/>
        <v>9.3023255813953473E-2</v>
      </c>
      <c r="F11" s="1">
        <f t="shared" si="7"/>
        <v>0.30188679245283018</v>
      </c>
      <c r="G11" s="1">
        <f t="shared" si="7"/>
        <v>0.25531914893617025</v>
      </c>
      <c r="H11" s="1">
        <f t="shared" si="7"/>
        <v>0.25531914893617025</v>
      </c>
      <c r="I11" s="1">
        <f t="shared" si="7"/>
        <v>0.25531914893617025</v>
      </c>
      <c r="J11" s="1">
        <f t="shared" si="7"/>
        <v>0.28000000000000003</v>
      </c>
      <c r="K11" s="1">
        <f t="shared" si="7"/>
        <v>0.1081081081081081</v>
      </c>
      <c r="L11" s="1">
        <f t="shared" si="7"/>
        <v>0.1702127659574468</v>
      </c>
      <c r="M11" s="1">
        <f t="shared" si="7"/>
        <v>0.1702127659574468</v>
      </c>
      <c r="N11" s="1">
        <f t="shared" si="7"/>
        <v>0.20833333333333334</v>
      </c>
      <c r="O11" s="1">
        <f t="shared" si="7"/>
        <v>0.17391304347826089</v>
      </c>
      <c r="P11" s="1">
        <f t="shared" si="7"/>
        <v>9.7560975609756101E-2</v>
      </c>
      <c r="Q11" s="1">
        <f t="shared" si="7"/>
        <v>0.16326530612244899</v>
      </c>
      <c r="R11" s="1">
        <f t="shared" si="7"/>
        <v>9.7560975609756101E-2</v>
      </c>
      <c r="S11" s="1">
        <f t="shared" si="7"/>
        <v>9.7560975609756101E-2</v>
      </c>
      <c r="T11" s="1">
        <f t="shared" si="7"/>
        <v>0.18604651162790695</v>
      </c>
      <c r="U11" s="1">
        <f t="shared" si="7"/>
        <v>0.18604651162790695</v>
      </c>
      <c r="V11" s="1">
        <f t="shared" si="7"/>
        <v>0.22727272727272727</v>
      </c>
      <c r="W11" s="1">
        <f t="shared" si="7"/>
        <v>0.22727272727272727</v>
      </c>
      <c r="X11" s="1">
        <f t="shared" si="7"/>
        <v>0.19047619047619047</v>
      </c>
      <c r="Y11" s="1">
        <f t="shared" si="7"/>
        <v>0.18604651162790695</v>
      </c>
      <c r="Z11" s="1">
        <f t="shared" si="7"/>
        <v>0.22222222222222224</v>
      </c>
      <c r="AA11" s="1">
        <f t="shared" si="7"/>
        <v>0.22222222222222224</v>
      </c>
      <c r="AB11" s="1">
        <f t="shared" si="7"/>
        <v>0.22727272727272727</v>
      </c>
      <c r="AC11" s="1">
        <f t="shared" si="7"/>
        <v>0.19047619047619047</v>
      </c>
      <c r="AD11" s="1">
        <f t="shared" si="7"/>
        <v>0.1951219512195122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0.95783132530120485</v>
      </c>
      <c r="F12" s="1">
        <f t="shared" si="8"/>
        <v>0.9337349397590361</v>
      </c>
      <c r="G12" s="1">
        <f t="shared" si="8"/>
        <v>0.95783132530120485</v>
      </c>
      <c r="H12" s="1">
        <f t="shared" si="8"/>
        <v>0.95783132530120485</v>
      </c>
      <c r="I12" s="1">
        <f t="shared" si="8"/>
        <v>0.95783132530120485</v>
      </c>
      <c r="J12" s="1">
        <f t="shared" si="8"/>
        <v>0.94578313253012047</v>
      </c>
      <c r="K12" s="1">
        <f t="shared" si="8"/>
        <v>0.96491228070175439</v>
      </c>
      <c r="L12" s="1">
        <f t="shared" si="8"/>
        <v>0.94578313253012047</v>
      </c>
      <c r="M12" s="1">
        <f t="shared" si="8"/>
        <v>0.94578313253012047</v>
      </c>
      <c r="N12" s="1">
        <f t="shared" si="8"/>
        <v>0.94578313253012047</v>
      </c>
      <c r="O12" s="1">
        <f t="shared" si="8"/>
        <v>0.95180722891566261</v>
      </c>
      <c r="P12" s="1">
        <f t="shared" si="8"/>
        <v>0.96987951807228912</v>
      </c>
      <c r="Q12" s="1">
        <f t="shared" si="8"/>
        <v>0.9337349397590361</v>
      </c>
      <c r="R12" s="1">
        <f t="shared" si="8"/>
        <v>0.96987951807228912</v>
      </c>
      <c r="S12" s="1">
        <f t="shared" si="8"/>
        <v>0.96987951807228912</v>
      </c>
      <c r="T12" s="1">
        <f t="shared" si="8"/>
        <v>0.96987951807228912</v>
      </c>
      <c r="U12" s="1">
        <f t="shared" si="8"/>
        <v>0.96987951807228912</v>
      </c>
      <c r="V12" s="1">
        <f t="shared" si="8"/>
        <v>0.96987951807228912</v>
      </c>
      <c r="W12" s="1">
        <f t="shared" si="8"/>
        <v>0.96987951807228912</v>
      </c>
      <c r="X12" s="1">
        <f t="shared" si="8"/>
        <v>0.97590361445783136</v>
      </c>
      <c r="Y12" s="1">
        <f t="shared" si="8"/>
        <v>0.96987951807228912</v>
      </c>
      <c r="Z12" s="1">
        <f t="shared" si="8"/>
        <v>0.96385542168674698</v>
      </c>
      <c r="AA12" s="1">
        <f t="shared" si="8"/>
        <v>0.96385542168674698</v>
      </c>
      <c r="AB12" s="1">
        <f t="shared" si="8"/>
        <v>0.96987951807228912</v>
      </c>
      <c r="AC12" s="1">
        <f t="shared" si="8"/>
        <v>0.97590361445783136</v>
      </c>
      <c r="AD12" s="1">
        <f t="shared" si="8"/>
        <v>0.98192771084337349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Act-Pass_rf</vt:lpstr>
      <vt:lpstr>Act-Dropout_rf</vt:lpstr>
      <vt:lpstr>Act-Fail_rf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2024-07-06T22:23:23Z</dcterms:modified>
</cp:coreProperties>
</file>