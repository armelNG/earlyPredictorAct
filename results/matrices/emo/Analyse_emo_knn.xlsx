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emo\"/>
    </mc:Choice>
  </mc:AlternateContent>
  <xr:revisionPtr revIDLastSave="0" documentId="13_ncr:1_{0C139E20-47DB-4354-9AE5-E79FC0EE261C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Emo-Pass_knn" sheetId="1" r:id="rId1"/>
    <sheet name="Emo-Fail_knn" sheetId="5" r:id="rId2"/>
    <sheet name="Emo-Dropout_kn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 s="1"/>
  <c r="R5" i="4"/>
  <c r="R6" i="4" s="1"/>
  <c r="C5" i="4"/>
  <c r="C12" i="4" s="1"/>
  <c r="B5" i="4"/>
  <c r="B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AB5" i="1"/>
  <c r="AB12" i="1" s="1"/>
  <c r="AC5" i="1"/>
  <c r="AC6" i="1" s="1"/>
  <c r="AD5" i="1"/>
  <c r="AD6" i="1" s="1"/>
  <c r="H5" i="1"/>
  <c r="H12" i="1" s="1"/>
  <c r="M11" i="5" l="1"/>
  <c r="Q11" i="1"/>
  <c r="D6" i="4"/>
  <c r="D7" i="4" s="1"/>
  <c r="D8" i="4" s="1"/>
  <c r="AA11" i="1"/>
  <c r="S11" i="1"/>
  <c r="K7" i="1"/>
  <c r="K8" i="1" s="1"/>
  <c r="H11" i="1"/>
  <c r="AD11" i="5"/>
  <c r="AC11" i="5"/>
  <c r="AD7" i="1"/>
  <c r="AD8" i="1" s="1"/>
  <c r="AC11" i="1"/>
  <c r="Z7" i="1"/>
  <c r="Z8" i="1" s="1"/>
  <c r="Y11" i="1"/>
  <c r="X11" i="1"/>
  <c r="K11" i="1"/>
  <c r="B12" i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Y7" i="5" s="1"/>
  <c r="Y8" i="5" s="1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<sst xmlns="http://schemas.openxmlformats.org/spreadsheetml/2006/main" count="6042" uniqueCount="25">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</sst>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'Emo-Pass_knn'!$A$7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'Emo-Pass_knn'!$B$7:$AD$7</c:f>
              <c:numCache>
                <c:formatCode>General</c:formatCode>
                <c:ptCount val="29"/>
                <c:pt idx="0">
                  <c:v>0.88</c:v>
                </c:pt>
                <c:pt idx="1">
                  <c:v>0.87</c:v>
                </c:pt>
                <c:pt idx="2">
                  <c:v>0.85499999999999998</c:v>
                </c:pt>
                <c:pt idx="3">
                  <c:v>0.86</c:v>
                </c:pt>
                <c:pt idx="4">
                  <c:v>0.86499999999999999</c:v>
                </c:pt>
                <c:pt idx="5">
                  <c:v>0.84499999999999997</c:v>
                </c:pt>
                <c:pt idx="6">
                  <c:v>0.84499999999999997</c:v>
                </c:pt>
                <c:pt idx="7">
                  <c:v>0.86</c:v>
                </c:pt>
                <c:pt idx="8">
                  <c:v>0.86499999999999999</c:v>
                </c:pt>
                <c:pt idx="9">
                  <c:v>0.86499999999999999</c:v>
                </c:pt>
                <c:pt idx="10">
                  <c:v>0.87</c:v>
                </c:pt>
                <c:pt idx="11">
                  <c:v>0.86</c:v>
                </c:pt>
                <c:pt idx="12">
                  <c:v>0.875</c:v>
                </c:pt>
                <c:pt idx="13">
                  <c:v>0.86499999999999999</c:v>
                </c:pt>
                <c:pt idx="14">
                  <c:v>0.88500000000000001</c:v>
                </c:pt>
                <c:pt idx="15">
                  <c:v>0.88</c:v>
                </c:pt>
                <c:pt idx="16">
                  <c:v>0.89500000000000002</c:v>
                </c:pt>
                <c:pt idx="17">
                  <c:v>0.9</c:v>
                </c:pt>
                <c:pt idx="18">
                  <c:v>0.9</c:v>
                </c:pt>
                <c:pt idx="19">
                  <c:v>0.90500000000000003</c:v>
                </c:pt>
                <c:pt idx="20">
                  <c:v>0.91</c:v>
                </c:pt>
                <c:pt idx="21">
                  <c:v>0.91</c:v>
                </c:pt>
                <c:pt idx="22">
                  <c:v>0.91500000000000004</c:v>
                </c:pt>
                <c:pt idx="23">
                  <c:v>0.91500000000000004</c:v>
                </c:pt>
                <c:pt idx="24">
                  <c:v>0.91500000000000004</c:v>
                </c:pt>
                <c:pt idx="25">
                  <c:v>0.91500000000000004</c:v>
                </c:pt>
                <c:pt idx="26">
                  <c:v>0.91500000000000004</c:v>
                </c:pt>
                <c:pt idx="27">
                  <c:v>0.92</c:v>
                </c:pt>
                <c:pt idx="28">
                  <c:v>0.91500000000000004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'Emo-Pass_knn'!$A$9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'Emo-Pass_knn'!$B$9:$AD$9</c:f>
              <c:numCache>
                <c:formatCode>General</c:formatCode>
                <c:ptCount val="29"/>
                <c:pt idx="0">
                  <c:v>0.8936170212765957</c:v>
                </c:pt>
                <c:pt idx="1">
                  <c:v>0.88297872340425532</c:v>
                </c:pt>
                <c:pt idx="2">
                  <c:v>0.9042553191489362</c:v>
                </c:pt>
                <c:pt idx="3">
                  <c:v>0.91489361702127658</c:v>
                </c:pt>
                <c:pt idx="4">
                  <c:v>0.92553191489361697</c:v>
                </c:pt>
                <c:pt idx="5">
                  <c:v>0.92553191489361697</c:v>
                </c:pt>
                <c:pt idx="6">
                  <c:v>0.93617021276595747</c:v>
                </c:pt>
                <c:pt idx="7">
                  <c:v>0.92553191489361697</c:v>
                </c:pt>
                <c:pt idx="8">
                  <c:v>0.93617021276595747</c:v>
                </c:pt>
                <c:pt idx="9">
                  <c:v>0.93617021276595747</c:v>
                </c:pt>
                <c:pt idx="10">
                  <c:v>0.91489361702127658</c:v>
                </c:pt>
                <c:pt idx="11">
                  <c:v>0.91489361702127658</c:v>
                </c:pt>
                <c:pt idx="12">
                  <c:v>0.91489361702127658</c:v>
                </c:pt>
                <c:pt idx="13">
                  <c:v>0.8936170212765957</c:v>
                </c:pt>
                <c:pt idx="14">
                  <c:v>0.91489361702127658</c:v>
                </c:pt>
                <c:pt idx="15">
                  <c:v>0.9042553191489362</c:v>
                </c:pt>
                <c:pt idx="16">
                  <c:v>0.93617021276595747</c:v>
                </c:pt>
                <c:pt idx="17">
                  <c:v>0.93617021276595747</c:v>
                </c:pt>
                <c:pt idx="18">
                  <c:v>0.93617021276595747</c:v>
                </c:pt>
                <c:pt idx="19">
                  <c:v>0.93617021276595747</c:v>
                </c:pt>
                <c:pt idx="20">
                  <c:v>0.93617021276595747</c:v>
                </c:pt>
                <c:pt idx="21">
                  <c:v>0.93617021276595747</c:v>
                </c:pt>
                <c:pt idx="22">
                  <c:v>0.93617021276595747</c:v>
                </c:pt>
                <c:pt idx="23">
                  <c:v>0.93617021276595747</c:v>
                </c:pt>
                <c:pt idx="24">
                  <c:v>0.93617021276595747</c:v>
                </c:pt>
                <c:pt idx="25">
                  <c:v>0.93617021276595747</c:v>
                </c:pt>
                <c:pt idx="26">
                  <c:v>0.92553191489361697</c:v>
                </c:pt>
                <c:pt idx="27">
                  <c:v>0.93617021276595747</c:v>
                </c:pt>
                <c:pt idx="28">
                  <c:v>0.92553191489361697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'Emo-Pass_knn'!$A$10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'Emo-Pass_knn'!$B$10:$AD$10</c:f>
              <c:numCache>
                <c:formatCode>General</c:formatCode>
                <c:ptCount val="29"/>
                <c:pt idx="0">
                  <c:v>0.8571428571428571</c:v>
                </c:pt>
                <c:pt idx="1">
                  <c:v>0.84693877551020413</c:v>
                </c:pt>
                <c:pt idx="2">
                  <c:v>0.80952380952380953</c:v>
                </c:pt>
                <c:pt idx="3">
                  <c:v>0.81132075471698117</c:v>
                </c:pt>
                <c:pt idx="4">
                  <c:v>0.81308411214953269</c:v>
                </c:pt>
                <c:pt idx="5">
                  <c:v>0.78378378378378377</c:v>
                </c:pt>
                <c:pt idx="6">
                  <c:v>0.77876106194690264</c:v>
                </c:pt>
                <c:pt idx="7">
                  <c:v>0.80555555555555558</c:v>
                </c:pt>
                <c:pt idx="8">
                  <c:v>0.80733944954128445</c:v>
                </c:pt>
                <c:pt idx="9">
                  <c:v>0.80733944954128445</c:v>
                </c:pt>
                <c:pt idx="10">
                  <c:v>0.82692307692307687</c:v>
                </c:pt>
                <c:pt idx="11">
                  <c:v>0.81132075471698117</c:v>
                </c:pt>
                <c:pt idx="12">
                  <c:v>0.83495145631067957</c:v>
                </c:pt>
                <c:pt idx="13">
                  <c:v>0.83168316831683164</c:v>
                </c:pt>
                <c:pt idx="14">
                  <c:v>0.85148514851485146</c:v>
                </c:pt>
                <c:pt idx="15">
                  <c:v>0.85</c:v>
                </c:pt>
                <c:pt idx="16">
                  <c:v>0.85436893203883491</c:v>
                </c:pt>
                <c:pt idx="17">
                  <c:v>0.86274509803921573</c:v>
                </c:pt>
                <c:pt idx="18">
                  <c:v>0.86274509803921573</c:v>
                </c:pt>
                <c:pt idx="19">
                  <c:v>0.87128712871287128</c:v>
                </c:pt>
                <c:pt idx="20">
                  <c:v>0.88</c:v>
                </c:pt>
                <c:pt idx="21">
                  <c:v>0.88</c:v>
                </c:pt>
                <c:pt idx="22">
                  <c:v>0.88888888888888884</c:v>
                </c:pt>
                <c:pt idx="23">
                  <c:v>0.88888888888888884</c:v>
                </c:pt>
                <c:pt idx="24">
                  <c:v>0.88888888888888884</c:v>
                </c:pt>
                <c:pt idx="25">
                  <c:v>0.88888888888888884</c:v>
                </c:pt>
                <c:pt idx="26">
                  <c:v>0.89690721649484539</c:v>
                </c:pt>
                <c:pt idx="27">
                  <c:v>0.89795918367346939</c:v>
                </c:pt>
                <c:pt idx="28">
                  <c:v>0.89690721649484539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'Emo-Pass_knn'!$A$11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'Emo-Pass_knn'!$B$11:$AD$11</c:f>
              <c:numCache>
                <c:formatCode>General</c:formatCode>
                <c:ptCount val="29"/>
                <c:pt idx="0">
                  <c:v>0.875</c:v>
                </c:pt>
                <c:pt idx="1">
                  <c:v>0.86458333333333337</c:v>
                </c:pt>
                <c:pt idx="2">
                  <c:v>0.85427135678391952</c:v>
                </c:pt>
                <c:pt idx="3">
                  <c:v>0.8600000000000001</c:v>
                </c:pt>
                <c:pt idx="4">
                  <c:v>0.86567164179104472</c:v>
                </c:pt>
                <c:pt idx="5">
                  <c:v>0.84878048780487803</c:v>
                </c:pt>
                <c:pt idx="6">
                  <c:v>0.85024154589371992</c:v>
                </c:pt>
                <c:pt idx="7">
                  <c:v>0.86138613861386137</c:v>
                </c:pt>
                <c:pt idx="8">
                  <c:v>0.86699507389162567</c:v>
                </c:pt>
                <c:pt idx="9">
                  <c:v>0.86699507389162567</c:v>
                </c:pt>
                <c:pt idx="10">
                  <c:v>0.86868686868686862</c:v>
                </c:pt>
                <c:pt idx="11">
                  <c:v>0.8600000000000001</c:v>
                </c:pt>
                <c:pt idx="12">
                  <c:v>0.87309644670050768</c:v>
                </c:pt>
                <c:pt idx="13">
                  <c:v>0.86153846153846148</c:v>
                </c:pt>
                <c:pt idx="14">
                  <c:v>0.88205128205128214</c:v>
                </c:pt>
                <c:pt idx="15">
                  <c:v>0.87628865979381432</c:v>
                </c:pt>
                <c:pt idx="16">
                  <c:v>0.8934010152284263</c:v>
                </c:pt>
                <c:pt idx="17">
                  <c:v>0.89795918367346939</c:v>
                </c:pt>
                <c:pt idx="18">
                  <c:v>0.89795918367346939</c:v>
                </c:pt>
                <c:pt idx="19">
                  <c:v>0.90256410256410269</c:v>
                </c:pt>
                <c:pt idx="20">
                  <c:v>0.90721649484536082</c:v>
                </c:pt>
                <c:pt idx="21">
                  <c:v>0.90721649484536082</c:v>
                </c:pt>
                <c:pt idx="22">
                  <c:v>0.91191709844559588</c:v>
                </c:pt>
                <c:pt idx="23">
                  <c:v>0.91191709844559588</c:v>
                </c:pt>
                <c:pt idx="24">
                  <c:v>0.91191709844559588</c:v>
                </c:pt>
                <c:pt idx="25">
                  <c:v>0.91191709844559588</c:v>
                </c:pt>
                <c:pt idx="26">
                  <c:v>0.91099476439790572</c:v>
                </c:pt>
                <c:pt idx="27">
                  <c:v>0.91666666666666663</c:v>
                </c:pt>
                <c:pt idx="28">
                  <c:v>0.91099476439790572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'Emo-Pass_knn'!$A$12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'Emo-Pass_knn'!$B$12:$AD$12</c:f>
              <c:numCache>
                <c:formatCode>General</c:formatCode>
                <c:ptCount val="29"/>
                <c:pt idx="0">
                  <c:v>0.86792452830188682</c:v>
                </c:pt>
                <c:pt idx="1">
                  <c:v>0.85849056603773588</c:v>
                </c:pt>
                <c:pt idx="2">
                  <c:v>0.81132075471698117</c:v>
                </c:pt>
                <c:pt idx="3">
                  <c:v>0.81132075471698117</c:v>
                </c:pt>
                <c:pt idx="4">
                  <c:v>0.81132075471698117</c:v>
                </c:pt>
                <c:pt idx="5">
                  <c:v>0.77358490566037741</c:v>
                </c:pt>
                <c:pt idx="6">
                  <c:v>0.76415094339622647</c:v>
                </c:pt>
                <c:pt idx="7">
                  <c:v>0.80188679245283023</c:v>
                </c:pt>
                <c:pt idx="8">
                  <c:v>0.80188679245283023</c:v>
                </c:pt>
                <c:pt idx="9">
                  <c:v>0.80188679245283023</c:v>
                </c:pt>
                <c:pt idx="10">
                  <c:v>0.83018867924528306</c:v>
                </c:pt>
                <c:pt idx="11">
                  <c:v>0.81132075471698117</c:v>
                </c:pt>
                <c:pt idx="12">
                  <c:v>0.839622641509434</c:v>
                </c:pt>
                <c:pt idx="13">
                  <c:v>0.839622641509434</c:v>
                </c:pt>
                <c:pt idx="14">
                  <c:v>0.85849056603773588</c:v>
                </c:pt>
                <c:pt idx="15">
                  <c:v>0.85849056603773588</c:v>
                </c:pt>
                <c:pt idx="16">
                  <c:v>0.85849056603773588</c:v>
                </c:pt>
                <c:pt idx="17">
                  <c:v>0.86792452830188682</c:v>
                </c:pt>
                <c:pt idx="18">
                  <c:v>0.86792452830188682</c:v>
                </c:pt>
                <c:pt idx="19">
                  <c:v>0.87735849056603776</c:v>
                </c:pt>
                <c:pt idx="20">
                  <c:v>0.8867924528301887</c:v>
                </c:pt>
                <c:pt idx="21">
                  <c:v>0.8867924528301887</c:v>
                </c:pt>
                <c:pt idx="22">
                  <c:v>0.89622641509433965</c:v>
                </c:pt>
                <c:pt idx="23">
                  <c:v>0.89622641509433965</c:v>
                </c:pt>
                <c:pt idx="24">
                  <c:v>0.89622641509433965</c:v>
                </c:pt>
                <c:pt idx="25">
                  <c:v>0.89622641509433965</c:v>
                </c:pt>
                <c:pt idx="26">
                  <c:v>0.90566037735849059</c:v>
                </c:pt>
                <c:pt idx="27">
                  <c:v>0.90566037735849059</c:v>
                </c:pt>
                <c:pt idx="28">
                  <c:v>0.90566037735849059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'Emo-Pass_knn'!$A$1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'Emo-Pass_knn'!$B$1:$AD$1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85</c:v>
                      </c:pt>
                      <c:pt idx="3">
                        <c:v>86</c:v>
                      </c:pt>
                      <c:pt idx="4">
                        <c:v>87</c:v>
                      </c:pt>
                      <c:pt idx="5">
                        <c:v>87</c:v>
                      </c:pt>
                      <c:pt idx="6">
                        <c:v>88</c:v>
                      </c:pt>
                      <c:pt idx="7">
                        <c:v>87</c:v>
                      </c:pt>
                      <c:pt idx="8">
                        <c:v>88</c:v>
                      </c:pt>
                      <c:pt idx="9">
                        <c:v>88</c:v>
                      </c:pt>
                      <c:pt idx="10">
                        <c:v>86</c:v>
                      </c:pt>
                      <c:pt idx="11">
                        <c:v>86</c:v>
                      </c:pt>
                      <c:pt idx="12">
                        <c:v>86</c:v>
                      </c:pt>
                      <c:pt idx="13">
                        <c:v>84</c:v>
                      </c:pt>
                      <c:pt idx="14">
                        <c:v>86</c:v>
                      </c:pt>
                      <c:pt idx="15">
                        <c:v>85</c:v>
                      </c:pt>
                      <c:pt idx="16">
                        <c:v>88</c:v>
                      </c:pt>
                      <c:pt idx="17">
                        <c:v>88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88</c:v>
                      </c:pt>
                      <c:pt idx="26">
                        <c:v>87</c:v>
                      </c:pt>
                      <c:pt idx="27">
                        <c:v>88</c:v>
                      </c:pt>
                      <c:pt idx="28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9</c:v>
                      </c:pt>
                      <c:pt idx="3">
                        <c:v>8</c:v>
                      </c:pt>
                      <c:pt idx="4">
                        <c:v>7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10</c:v>
                      </c:pt>
                      <c:pt idx="14">
                        <c:v>8</c:v>
                      </c:pt>
                      <c:pt idx="15">
                        <c:v>9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7</c:v>
                      </c:pt>
                      <c:pt idx="27">
                        <c:v>6</c:v>
                      </c:pt>
                      <c:pt idx="28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15</c:v>
                      </c:pt>
                      <c:pt idx="2">
                        <c:v>20</c:v>
                      </c:pt>
                      <c:pt idx="3">
                        <c:v>20</c:v>
                      </c:pt>
                      <c:pt idx="4">
                        <c:v>20</c:v>
                      </c:pt>
                      <c:pt idx="5">
                        <c:v>24</c:v>
                      </c:pt>
                      <c:pt idx="6">
                        <c:v>25</c:v>
                      </c:pt>
                      <c:pt idx="7">
                        <c:v>21</c:v>
                      </c:pt>
                      <c:pt idx="8">
                        <c:v>21</c:v>
                      </c:pt>
                      <c:pt idx="9">
                        <c:v>21</c:v>
                      </c:pt>
                      <c:pt idx="10">
                        <c:v>18</c:v>
                      </c:pt>
                      <c:pt idx="11">
                        <c:v>20</c:v>
                      </c:pt>
                      <c:pt idx="12">
                        <c:v>17</c:v>
                      </c:pt>
                      <c:pt idx="13">
                        <c:v>17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11</c:v>
                      </c:pt>
                      <c:pt idx="23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28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91</c:v>
                      </c:pt>
                      <c:pt idx="2">
                        <c:v>86</c:v>
                      </c:pt>
                      <c:pt idx="3">
                        <c:v>86</c:v>
                      </c:pt>
                      <c:pt idx="4">
                        <c:v>86</c:v>
                      </c:pt>
                      <c:pt idx="5">
                        <c:v>82</c:v>
                      </c:pt>
                      <c:pt idx="6">
                        <c:v>81</c:v>
                      </c:pt>
                      <c:pt idx="7">
                        <c:v>85</c:v>
                      </c:pt>
                      <c:pt idx="8">
                        <c:v>85</c:v>
                      </c:pt>
                      <c:pt idx="9">
                        <c:v>85</c:v>
                      </c:pt>
                      <c:pt idx="10">
                        <c:v>88</c:v>
                      </c:pt>
                      <c:pt idx="11">
                        <c:v>86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91</c:v>
                      </c:pt>
                      <c:pt idx="15">
                        <c:v>91</c:v>
                      </c:pt>
                      <c:pt idx="16">
                        <c:v>91</c:v>
                      </c:pt>
                      <c:pt idx="17">
                        <c:v>92</c:v>
                      </c:pt>
                      <c:pt idx="18">
                        <c:v>92</c:v>
                      </c:pt>
                      <c:pt idx="19">
                        <c:v>93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95</c:v>
                      </c:pt>
                      <c:pt idx="23">
                        <c:v>95</c:v>
                      </c:pt>
                      <c:pt idx="24">
                        <c:v>95</c:v>
                      </c:pt>
                      <c:pt idx="25">
                        <c:v>95</c:v>
                      </c:pt>
                      <c:pt idx="26">
                        <c:v>96</c:v>
                      </c:pt>
                      <c:pt idx="27">
                        <c:v>96</c:v>
                      </c:pt>
                      <c:pt idx="28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</c:v>
                      </c:pt>
                      <c:pt idx="1">
                        <c:v>0.13</c:v>
                      </c:pt>
                      <c:pt idx="2">
                        <c:v>0.14500000000000002</c:v>
                      </c:pt>
                      <c:pt idx="3">
                        <c:v>0.14000000000000001</c:v>
                      </c:pt>
                      <c:pt idx="4">
                        <c:v>0.13500000000000001</c:v>
                      </c:pt>
                      <c:pt idx="5">
                        <c:v>0.15500000000000003</c:v>
                      </c:pt>
                      <c:pt idx="6">
                        <c:v>0.15500000000000003</c:v>
                      </c:pt>
                      <c:pt idx="7">
                        <c:v>0.14000000000000001</c:v>
                      </c:pt>
                      <c:pt idx="8">
                        <c:v>0.13500000000000001</c:v>
                      </c:pt>
                      <c:pt idx="9">
                        <c:v>0.13500000000000001</c:v>
                      </c:pt>
                      <c:pt idx="10">
                        <c:v>0.13</c:v>
                      </c:pt>
                      <c:pt idx="11">
                        <c:v>0.14000000000000001</c:v>
                      </c:pt>
                      <c:pt idx="12">
                        <c:v>0.125</c:v>
                      </c:pt>
                      <c:pt idx="13">
                        <c:v>0.13500000000000001</c:v>
                      </c:pt>
                      <c:pt idx="14">
                        <c:v>0.11499999999999999</c:v>
                      </c:pt>
                      <c:pt idx="15">
                        <c:v>0.12</c:v>
                      </c:pt>
                      <c:pt idx="16">
                        <c:v>0.10499999999999998</c:v>
                      </c:pt>
                      <c:pt idx="17">
                        <c:v>9.9999999999999978E-2</c:v>
                      </c:pt>
                      <c:pt idx="18">
                        <c:v>9.9999999999999978E-2</c:v>
                      </c:pt>
                      <c:pt idx="19">
                        <c:v>9.4999999999999973E-2</c:v>
                      </c:pt>
                      <c:pt idx="20">
                        <c:v>8.9999999999999969E-2</c:v>
                      </c:pt>
                      <c:pt idx="21">
                        <c:v>8.9999999999999969E-2</c:v>
                      </c:pt>
                      <c:pt idx="22">
                        <c:v>8.4999999999999964E-2</c:v>
                      </c:pt>
                      <c:pt idx="23">
                        <c:v>8.4999999999999964E-2</c:v>
                      </c:pt>
                      <c:pt idx="24">
                        <c:v>8.4999999999999964E-2</c:v>
                      </c:pt>
                      <c:pt idx="25">
                        <c:v>8.4999999999999964E-2</c:v>
                      </c:pt>
                      <c:pt idx="26">
                        <c:v>8.4999999999999964E-2</c:v>
                      </c:pt>
                      <c:pt idx="27">
                        <c:v>7.999999999999996E-2</c:v>
                      </c:pt>
                      <c:pt idx="28">
                        <c:v>8.4999999999999964E-2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'Emo-Fail_knn'!$A$7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'Emo-Fail_knn'!$B$7:$AD$7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0.78</c:v>
                </c:pt>
                <c:pt idx="5">
                  <c:v>0.78</c:v>
                </c:pt>
                <c:pt idx="6">
                  <c:v>0.77500000000000002</c:v>
                </c:pt>
                <c:pt idx="7">
                  <c:v>0.755</c:v>
                </c:pt>
                <c:pt idx="8">
                  <c:v>0.76500000000000001</c:v>
                </c:pt>
                <c:pt idx="9">
                  <c:v>0.77500000000000002</c:v>
                </c:pt>
                <c:pt idx="10">
                  <c:v>0.79500000000000004</c:v>
                </c:pt>
                <c:pt idx="11">
                  <c:v>0.78500000000000003</c:v>
                </c:pt>
                <c:pt idx="12">
                  <c:v>0.79500000000000004</c:v>
                </c:pt>
                <c:pt idx="13">
                  <c:v>0.8</c:v>
                </c:pt>
                <c:pt idx="14">
                  <c:v>0.8</c:v>
                </c:pt>
                <c:pt idx="15">
                  <c:v>0.77500000000000002</c:v>
                </c:pt>
                <c:pt idx="16">
                  <c:v>0.78500000000000003</c:v>
                </c:pt>
                <c:pt idx="17">
                  <c:v>0.82499999999999996</c:v>
                </c:pt>
                <c:pt idx="18">
                  <c:v>0.79</c:v>
                </c:pt>
                <c:pt idx="19">
                  <c:v>0.8</c:v>
                </c:pt>
                <c:pt idx="20">
                  <c:v>0.8</c:v>
                </c:pt>
                <c:pt idx="21">
                  <c:v>0.82499999999999996</c:v>
                </c:pt>
                <c:pt idx="22">
                  <c:v>0.80500000000000005</c:v>
                </c:pt>
                <c:pt idx="23">
                  <c:v>0.82</c:v>
                </c:pt>
                <c:pt idx="24">
                  <c:v>0.79</c:v>
                </c:pt>
                <c:pt idx="25">
                  <c:v>0.80500000000000005</c:v>
                </c:pt>
                <c:pt idx="26">
                  <c:v>0.81499999999999995</c:v>
                </c:pt>
                <c:pt idx="27">
                  <c:v>0.83499999999999996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'Emo-Fail_knn'!$A$9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'Emo-Fail_knn'!$B$9:$AD$9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0.23529411764705882</c:v>
                </c:pt>
                <c:pt idx="5">
                  <c:v>0.23529411764705882</c:v>
                </c:pt>
                <c:pt idx="6">
                  <c:v>0.23529411764705882</c:v>
                </c:pt>
                <c:pt idx="7">
                  <c:v>0.19444444444444445</c:v>
                </c:pt>
                <c:pt idx="8">
                  <c:v>0.3235294117647059</c:v>
                </c:pt>
                <c:pt idx="9">
                  <c:v>0.23529411764705882</c:v>
                </c:pt>
                <c:pt idx="10">
                  <c:v>0.23529411764705882</c:v>
                </c:pt>
                <c:pt idx="11">
                  <c:v>0.20588235294117646</c:v>
                </c:pt>
                <c:pt idx="12">
                  <c:v>0.26470588235294118</c:v>
                </c:pt>
                <c:pt idx="13">
                  <c:v>0.20588235294117646</c:v>
                </c:pt>
                <c:pt idx="14">
                  <c:v>0.14705882352941177</c:v>
                </c:pt>
                <c:pt idx="15">
                  <c:v>8.8235294117647065E-2</c:v>
                </c:pt>
                <c:pt idx="16">
                  <c:v>8.8235294117647065E-2</c:v>
                </c:pt>
                <c:pt idx="17">
                  <c:v>8.8235294117647065E-2</c:v>
                </c:pt>
                <c:pt idx="18">
                  <c:v>0.11764705882352941</c:v>
                </c:pt>
                <c:pt idx="19">
                  <c:v>0.11764705882352941</c:v>
                </c:pt>
                <c:pt idx="20">
                  <c:v>0.11764705882352941</c:v>
                </c:pt>
                <c:pt idx="21">
                  <c:v>8.8235294117647065E-2</c:v>
                </c:pt>
                <c:pt idx="22">
                  <c:v>0.11764705882352941</c:v>
                </c:pt>
                <c:pt idx="23">
                  <c:v>5.8823529411764705E-2</c:v>
                </c:pt>
                <c:pt idx="24">
                  <c:v>5.8823529411764705E-2</c:v>
                </c:pt>
                <c:pt idx="25">
                  <c:v>0.14705882352941177</c:v>
                </c:pt>
                <c:pt idx="26">
                  <c:v>8.8235294117647065E-2</c:v>
                </c:pt>
                <c:pt idx="27">
                  <c:v>0.14705882352941177</c:v>
                </c:pt>
                <c:pt idx="28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'Emo-Fail_knn'!$A$10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'Emo-Fail_knn'!$B$10:$AD$10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0.30769230769230771</c:v>
                </c:pt>
                <c:pt idx="5">
                  <c:v>0.30769230769230771</c:v>
                </c:pt>
                <c:pt idx="6">
                  <c:v>0.29629629629629628</c:v>
                </c:pt>
                <c:pt idx="7">
                  <c:v>0.25925925925925924</c:v>
                </c:pt>
                <c:pt idx="8">
                  <c:v>0.31428571428571428</c:v>
                </c:pt>
                <c:pt idx="9">
                  <c:v>0.29629629629629628</c:v>
                </c:pt>
                <c:pt idx="10">
                  <c:v>0.34782608695652173</c:v>
                </c:pt>
                <c:pt idx="11">
                  <c:v>0.30434782608695654</c:v>
                </c:pt>
                <c:pt idx="12">
                  <c:v>0.36</c:v>
                </c:pt>
                <c:pt idx="13">
                  <c:v>0.35</c:v>
                </c:pt>
                <c:pt idx="14">
                  <c:v>0.3125</c:v>
                </c:pt>
                <c:pt idx="15">
                  <c:v>0.17647058823529413</c:v>
                </c:pt>
                <c:pt idx="16">
                  <c:v>0.2</c:v>
                </c:pt>
                <c:pt idx="17">
                  <c:v>0.42857142857142855</c:v>
                </c:pt>
                <c:pt idx="18">
                  <c:v>0.25</c:v>
                </c:pt>
                <c:pt idx="19">
                  <c:v>0.2857142857142857</c:v>
                </c:pt>
                <c:pt idx="20">
                  <c:v>0.2857142857142857</c:v>
                </c:pt>
                <c:pt idx="21">
                  <c:v>0.42857142857142855</c:v>
                </c:pt>
                <c:pt idx="22">
                  <c:v>0.30769230769230771</c:v>
                </c:pt>
                <c:pt idx="23">
                  <c:v>0.33333333333333331</c:v>
                </c:pt>
                <c:pt idx="24">
                  <c:v>0.16666666666666666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0.55555555555555558</c:v>
                </c:pt>
                <c:pt idx="28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'Emo-Fail_knn'!$A$11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'Emo-Fail_knn'!$B$11:$AD$11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0.26666666666666666</c:v>
                </c:pt>
                <c:pt idx="5">
                  <c:v>0.26666666666666666</c:v>
                </c:pt>
                <c:pt idx="6">
                  <c:v>0.26229508196721307</c:v>
                </c:pt>
                <c:pt idx="7">
                  <c:v>0.22222222222222221</c:v>
                </c:pt>
                <c:pt idx="8">
                  <c:v>0.31884057971014496</c:v>
                </c:pt>
                <c:pt idx="9">
                  <c:v>0.26229508196721307</c:v>
                </c:pt>
                <c:pt idx="10">
                  <c:v>0.28070175438596484</c:v>
                </c:pt>
                <c:pt idx="11">
                  <c:v>0.24561403508771931</c:v>
                </c:pt>
                <c:pt idx="12">
                  <c:v>0.30508474576271183</c:v>
                </c:pt>
                <c:pt idx="13">
                  <c:v>0.25925925925925924</c:v>
                </c:pt>
                <c:pt idx="14">
                  <c:v>0.2</c:v>
                </c:pt>
                <c:pt idx="15">
                  <c:v>0.11764705882352942</c:v>
                </c:pt>
                <c:pt idx="16">
                  <c:v>0.12244897959183675</c:v>
                </c:pt>
                <c:pt idx="17">
                  <c:v>0.14634146341463417</c:v>
                </c:pt>
                <c:pt idx="18">
                  <c:v>0.15999999999999998</c:v>
                </c:pt>
                <c:pt idx="19">
                  <c:v>0.16666666666666666</c:v>
                </c:pt>
                <c:pt idx="20">
                  <c:v>0.16666666666666666</c:v>
                </c:pt>
                <c:pt idx="21">
                  <c:v>0.14634146341463417</c:v>
                </c:pt>
                <c:pt idx="22">
                  <c:v>0.1702127659574468</c:v>
                </c:pt>
                <c:pt idx="23">
                  <c:v>0.1</c:v>
                </c:pt>
                <c:pt idx="24">
                  <c:v>8.6956521739130446E-2</c:v>
                </c:pt>
                <c:pt idx="25">
                  <c:v>0.20408163265306123</c:v>
                </c:pt>
                <c:pt idx="26">
                  <c:v>0.13953488372093023</c:v>
                </c:pt>
                <c:pt idx="27">
                  <c:v>0.23255813953488372</c:v>
                </c:pt>
                <c:pt idx="28">
                  <c:v>0.1951219512195122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'Emo-Fail_knn'!$A$12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'Emo-Fail_knn'!$B$12:$AD$12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0.89156626506024095</c:v>
                </c:pt>
                <c:pt idx="5">
                  <c:v>0.89156626506024095</c:v>
                </c:pt>
                <c:pt idx="6">
                  <c:v>0.88554216867469882</c:v>
                </c:pt>
                <c:pt idx="7">
                  <c:v>0.87804878048780488</c:v>
                </c:pt>
                <c:pt idx="8">
                  <c:v>0.85542168674698793</c:v>
                </c:pt>
                <c:pt idx="9">
                  <c:v>0.88554216867469882</c:v>
                </c:pt>
                <c:pt idx="10">
                  <c:v>0.90963855421686746</c:v>
                </c:pt>
                <c:pt idx="11">
                  <c:v>0.90361445783132532</c:v>
                </c:pt>
                <c:pt idx="12">
                  <c:v>0.90361445783132532</c:v>
                </c:pt>
                <c:pt idx="13">
                  <c:v>0.92168674698795183</c:v>
                </c:pt>
                <c:pt idx="14">
                  <c:v>0.9337349397590361</c:v>
                </c:pt>
                <c:pt idx="15">
                  <c:v>0.91566265060240959</c:v>
                </c:pt>
                <c:pt idx="16">
                  <c:v>0.92771084337349397</c:v>
                </c:pt>
                <c:pt idx="17">
                  <c:v>0.97590361445783136</c:v>
                </c:pt>
                <c:pt idx="18">
                  <c:v>0.92771084337349397</c:v>
                </c:pt>
                <c:pt idx="19">
                  <c:v>0.93975903614457834</c:v>
                </c:pt>
                <c:pt idx="20">
                  <c:v>0.93975903614457834</c:v>
                </c:pt>
                <c:pt idx="21">
                  <c:v>0.97590361445783136</c:v>
                </c:pt>
                <c:pt idx="22">
                  <c:v>0.94578313253012047</c:v>
                </c:pt>
                <c:pt idx="23">
                  <c:v>0.97590361445783136</c:v>
                </c:pt>
                <c:pt idx="24">
                  <c:v>0.93975903614457834</c:v>
                </c:pt>
                <c:pt idx="25">
                  <c:v>0.93975903614457834</c:v>
                </c:pt>
                <c:pt idx="26">
                  <c:v>0.96385542168674698</c:v>
                </c:pt>
                <c:pt idx="27">
                  <c:v>0.97590361445783136</c:v>
                </c:pt>
                <c:pt idx="28">
                  <c:v>0.98192771084337349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'Emo-Fail_knn'!$A$1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'Emo-Fail_knn'!$B$1:$AD$1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7</c:v>
                      </c:pt>
                      <c:pt idx="8">
                        <c:v>11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7</c:v>
                      </c:pt>
                      <c:pt idx="12">
                        <c:v>9</c:v>
                      </c:pt>
                      <c:pt idx="13">
                        <c:v>7</c:v>
                      </c:pt>
                      <c:pt idx="14">
                        <c:v>5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5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26</c:v>
                      </c:pt>
                      <c:pt idx="5">
                        <c:v>26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23</c:v>
                      </c:pt>
                      <c:pt idx="9">
                        <c:v>26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25</c:v>
                      </c:pt>
                      <c:pt idx="13">
                        <c:v>27</c:v>
                      </c:pt>
                      <c:pt idx="14">
                        <c:v>29</c:v>
                      </c:pt>
                      <c:pt idx="15">
                        <c:v>31</c:v>
                      </c:pt>
                      <c:pt idx="16">
                        <c:v>31</c:v>
                      </c:pt>
                      <c:pt idx="17">
                        <c:v>31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30</c:v>
                      </c:pt>
                      <c:pt idx="21">
                        <c:v>31</c:v>
                      </c:pt>
                      <c:pt idx="22">
                        <c:v>30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29</c:v>
                      </c:pt>
                      <c:pt idx="26">
                        <c:v>31</c:v>
                      </c:pt>
                      <c:pt idx="27">
                        <c:v>29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19</c:v>
                      </c:pt>
                      <c:pt idx="7">
                        <c:v>20</c:v>
                      </c:pt>
                      <c:pt idx="8">
                        <c:v>24</c:v>
                      </c:pt>
                      <c:pt idx="9">
                        <c:v>19</c:v>
                      </c:pt>
                      <c:pt idx="10">
                        <c:v>15</c:v>
                      </c:pt>
                      <c:pt idx="11">
                        <c:v>16</c:v>
                      </c:pt>
                      <c:pt idx="12">
                        <c:v>16</c:v>
                      </c:pt>
                      <c:pt idx="13">
                        <c:v>13</c:v>
                      </c:pt>
                      <c:pt idx="14">
                        <c:v>11</c:v>
                      </c:pt>
                      <c:pt idx="15">
                        <c:v>14</c:v>
                      </c:pt>
                      <c:pt idx="16">
                        <c:v>12</c:v>
                      </c:pt>
                      <c:pt idx="17">
                        <c:v>4</c:v>
                      </c:pt>
                      <c:pt idx="18">
                        <c:v>12</c:v>
                      </c:pt>
                      <c:pt idx="19">
                        <c:v>10</c:v>
                      </c:pt>
                      <c:pt idx="20">
                        <c:v>10</c:v>
                      </c:pt>
                      <c:pt idx="21">
                        <c:v>4</c:v>
                      </c:pt>
                      <c:pt idx="22">
                        <c:v>9</c:v>
                      </c:pt>
                      <c:pt idx="23">
                        <c:v>4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6</c:v>
                      </c:pt>
                      <c:pt idx="27">
                        <c:v>4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148</c:v>
                      </c:pt>
                      <c:pt idx="5">
                        <c:v>148</c:v>
                      </c:pt>
                      <c:pt idx="6">
                        <c:v>147</c:v>
                      </c:pt>
                      <c:pt idx="7">
                        <c:v>144</c:v>
                      </c:pt>
                      <c:pt idx="8">
                        <c:v>142</c:v>
                      </c:pt>
                      <c:pt idx="9">
                        <c:v>147</c:v>
                      </c:pt>
                      <c:pt idx="10">
                        <c:v>151</c:v>
                      </c:pt>
                      <c:pt idx="11">
                        <c:v>150</c:v>
                      </c:pt>
                      <c:pt idx="12">
                        <c:v>150</c:v>
                      </c:pt>
                      <c:pt idx="13">
                        <c:v>153</c:v>
                      </c:pt>
                      <c:pt idx="14">
                        <c:v>155</c:v>
                      </c:pt>
                      <c:pt idx="15">
                        <c:v>152</c:v>
                      </c:pt>
                      <c:pt idx="16">
                        <c:v>154</c:v>
                      </c:pt>
                      <c:pt idx="17">
                        <c:v>162</c:v>
                      </c:pt>
                      <c:pt idx="18">
                        <c:v>154</c:v>
                      </c:pt>
                      <c:pt idx="19">
                        <c:v>156</c:v>
                      </c:pt>
                      <c:pt idx="20">
                        <c:v>156</c:v>
                      </c:pt>
                      <c:pt idx="21">
                        <c:v>162</c:v>
                      </c:pt>
                      <c:pt idx="22">
                        <c:v>157</c:v>
                      </c:pt>
                      <c:pt idx="23">
                        <c:v>162</c:v>
                      </c:pt>
                      <c:pt idx="24">
                        <c:v>156</c:v>
                      </c:pt>
                      <c:pt idx="25">
                        <c:v>156</c:v>
                      </c:pt>
                      <c:pt idx="26">
                        <c:v>160</c:v>
                      </c:pt>
                      <c:pt idx="27">
                        <c:v>162</c:v>
                      </c:pt>
                      <c:pt idx="28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0.21999999999999997</c:v>
                      </c:pt>
                      <c:pt idx="5">
                        <c:v>0.21999999999999997</c:v>
                      </c:pt>
                      <c:pt idx="6">
                        <c:v>0.22499999999999998</c:v>
                      </c:pt>
                      <c:pt idx="7">
                        <c:v>0.245</c:v>
                      </c:pt>
                      <c:pt idx="8">
                        <c:v>0.23499999999999999</c:v>
                      </c:pt>
                      <c:pt idx="9">
                        <c:v>0.22499999999999998</c:v>
                      </c:pt>
                      <c:pt idx="10">
                        <c:v>0.20499999999999996</c:v>
                      </c:pt>
                      <c:pt idx="11">
                        <c:v>0.21499999999999997</c:v>
                      </c:pt>
                      <c:pt idx="12">
                        <c:v>0.20499999999999996</c:v>
                      </c:pt>
                      <c:pt idx="13">
                        <c:v>0.19999999999999996</c:v>
                      </c:pt>
                      <c:pt idx="14">
                        <c:v>0.19999999999999996</c:v>
                      </c:pt>
                      <c:pt idx="15">
                        <c:v>0.22499999999999998</c:v>
                      </c:pt>
                      <c:pt idx="16">
                        <c:v>0.21499999999999997</c:v>
                      </c:pt>
                      <c:pt idx="17">
                        <c:v>0.17500000000000004</c:v>
                      </c:pt>
                      <c:pt idx="18">
                        <c:v>0.20999999999999996</c:v>
                      </c:pt>
                      <c:pt idx="19">
                        <c:v>0.19999999999999996</c:v>
                      </c:pt>
                      <c:pt idx="20">
                        <c:v>0.19999999999999996</c:v>
                      </c:pt>
                      <c:pt idx="21">
                        <c:v>0.17500000000000004</c:v>
                      </c:pt>
                      <c:pt idx="22">
                        <c:v>0.19499999999999995</c:v>
                      </c:pt>
                      <c:pt idx="23">
                        <c:v>0.18000000000000005</c:v>
                      </c:pt>
                      <c:pt idx="24">
                        <c:v>0.20999999999999996</c:v>
                      </c:pt>
                      <c:pt idx="25">
                        <c:v>0.19499999999999995</c:v>
                      </c:pt>
                      <c:pt idx="26">
                        <c:v>0.18500000000000005</c:v>
                      </c:pt>
                      <c:pt idx="27">
                        <c:v>0.16500000000000004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'Emo-Dropout_knn'!$B$7:$AD$7</c:f>
              <c:numCache>
                <c:formatCode>General</c:formatCode>
                <c:ptCount val="29"/>
                <c:pt idx="0">
                  <c:v>0.81499999999999995</c:v>
                </c:pt>
                <c:pt idx="1">
                  <c:v>0.81</c:v>
                </c:pt>
                <c:pt idx="2">
                  <c:v>0.81499999999999995</c:v>
                </c:pt>
                <c:pt idx="3">
                  <c:v>0.82</c:v>
                </c:pt>
                <c:pt idx="4">
                  <c:v>0.80500000000000005</c:v>
                </c:pt>
                <c:pt idx="5">
                  <c:v>0.80500000000000005</c:v>
                </c:pt>
                <c:pt idx="6">
                  <c:v>0.8</c:v>
                </c:pt>
                <c:pt idx="7">
                  <c:v>0.80500000000000005</c:v>
                </c:pt>
                <c:pt idx="8">
                  <c:v>0.82</c:v>
                </c:pt>
                <c:pt idx="9">
                  <c:v>0.82</c:v>
                </c:pt>
                <c:pt idx="10">
                  <c:v>0.82</c:v>
                </c:pt>
                <c:pt idx="11">
                  <c:v>0.82499999999999996</c:v>
                </c:pt>
                <c:pt idx="12">
                  <c:v>0.81499999999999995</c:v>
                </c:pt>
                <c:pt idx="13">
                  <c:v>0.80500000000000005</c:v>
                </c:pt>
                <c:pt idx="14">
                  <c:v>0.83499999999999996</c:v>
                </c:pt>
                <c:pt idx="15">
                  <c:v>0.81499999999999995</c:v>
                </c:pt>
                <c:pt idx="16">
                  <c:v>0.83</c:v>
                </c:pt>
                <c:pt idx="17">
                  <c:v>0.85499999999999998</c:v>
                </c:pt>
                <c:pt idx="18">
                  <c:v>0.82499999999999996</c:v>
                </c:pt>
                <c:pt idx="19">
                  <c:v>0.83499999999999996</c:v>
                </c:pt>
                <c:pt idx="20">
                  <c:v>0.84</c:v>
                </c:pt>
                <c:pt idx="21">
                  <c:v>0.85499999999999998</c:v>
                </c:pt>
                <c:pt idx="22">
                  <c:v>0.83</c:v>
                </c:pt>
                <c:pt idx="23">
                  <c:v>0.84499999999999997</c:v>
                </c:pt>
                <c:pt idx="24">
                  <c:v>0.82499999999999996</c:v>
                </c:pt>
                <c:pt idx="25">
                  <c:v>0.84</c:v>
                </c:pt>
                <c:pt idx="26">
                  <c:v>0.85</c:v>
                </c:pt>
                <c:pt idx="27">
                  <c:v>0.86499999999999999</c:v>
                </c:pt>
                <c:pt idx="28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'Emo-Dropout_knn'!$A$9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'Emo-Dropout_knn'!$B$9:$AD$9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0.90277777777777779</c:v>
                </c:pt>
                <c:pt idx="3">
                  <c:v>0.90277777777777779</c:v>
                </c:pt>
                <c:pt idx="4">
                  <c:v>0.69444444444444442</c:v>
                </c:pt>
                <c:pt idx="5">
                  <c:v>0.66666666666666663</c:v>
                </c:pt>
                <c:pt idx="6">
                  <c:v>0.63888888888888884</c:v>
                </c:pt>
                <c:pt idx="7">
                  <c:v>0.68055555555555558</c:v>
                </c:pt>
                <c:pt idx="8">
                  <c:v>0.63888888888888884</c:v>
                </c:pt>
                <c:pt idx="9">
                  <c:v>0.69444444444444442</c:v>
                </c:pt>
                <c:pt idx="10">
                  <c:v>0.75</c:v>
                </c:pt>
                <c:pt idx="11">
                  <c:v>0.75</c:v>
                </c:pt>
                <c:pt idx="12">
                  <c:v>0.73611111111111116</c:v>
                </c:pt>
                <c:pt idx="13">
                  <c:v>0.77777777777777779</c:v>
                </c:pt>
                <c:pt idx="14">
                  <c:v>0.84722222222222221</c:v>
                </c:pt>
                <c:pt idx="15">
                  <c:v>0.81944444444444442</c:v>
                </c:pt>
                <c:pt idx="16">
                  <c:v>0.83333333333333337</c:v>
                </c:pt>
                <c:pt idx="17">
                  <c:v>0.93055555555555558</c:v>
                </c:pt>
                <c:pt idx="18">
                  <c:v>0.83333333333333337</c:v>
                </c:pt>
                <c:pt idx="19">
                  <c:v>0.86111111111111116</c:v>
                </c:pt>
                <c:pt idx="20">
                  <c:v>0.88732394366197187</c:v>
                </c:pt>
                <c:pt idx="21">
                  <c:v>0.94444444444444442</c:v>
                </c:pt>
                <c:pt idx="22">
                  <c:v>0.875</c:v>
                </c:pt>
                <c:pt idx="23">
                  <c:v>0.94444444444444442</c:v>
                </c:pt>
                <c:pt idx="24">
                  <c:v>0.875</c:v>
                </c:pt>
                <c:pt idx="25">
                  <c:v>0.875</c:v>
                </c:pt>
                <c:pt idx="26">
                  <c:v>0.94444444444444442</c:v>
                </c:pt>
                <c:pt idx="27">
                  <c:v>0.95833333333333337</c:v>
                </c:pt>
                <c:pt idx="28">
                  <c:v>0.97222222222222221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'Emo-Dropout_knn'!$A$10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'Emo-Dropout_knn'!$B$10:$AD$10</c:f>
              <c:numCache>
                <c:formatCode>General</c:formatCode>
                <c:ptCount val="29"/>
                <c:pt idx="0">
                  <c:v>0.67326732673267331</c:v>
                </c:pt>
                <c:pt idx="1">
                  <c:v>0.66666666666666663</c:v>
                </c:pt>
                <c:pt idx="2">
                  <c:v>0.68421052631578949</c:v>
                </c:pt>
                <c:pt idx="3">
                  <c:v>0.69148936170212771</c:v>
                </c:pt>
                <c:pt idx="4">
                  <c:v>0.74626865671641796</c:v>
                </c:pt>
                <c:pt idx="5">
                  <c:v>0.76190476190476186</c:v>
                </c:pt>
                <c:pt idx="6">
                  <c:v>0.76666666666666672</c:v>
                </c:pt>
                <c:pt idx="7">
                  <c:v>0.75384615384615383</c:v>
                </c:pt>
                <c:pt idx="8">
                  <c:v>0.8214285714285714</c:v>
                </c:pt>
                <c:pt idx="9">
                  <c:v>0.78125</c:v>
                </c:pt>
                <c:pt idx="10">
                  <c:v>0.75</c:v>
                </c:pt>
                <c:pt idx="11">
                  <c:v>0.76056338028169013</c:v>
                </c:pt>
                <c:pt idx="12">
                  <c:v>0.74647887323943662</c:v>
                </c:pt>
                <c:pt idx="13">
                  <c:v>0.70886075949367089</c:v>
                </c:pt>
                <c:pt idx="14">
                  <c:v>0.73493975903614461</c:v>
                </c:pt>
                <c:pt idx="15">
                  <c:v>0.71084337349397586</c:v>
                </c:pt>
                <c:pt idx="16">
                  <c:v>0.73170731707317072</c:v>
                </c:pt>
                <c:pt idx="17">
                  <c:v>0.73626373626373631</c:v>
                </c:pt>
                <c:pt idx="18">
                  <c:v>0.72289156626506024</c:v>
                </c:pt>
                <c:pt idx="19">
                  <c:v>0.72941176470588232</c:v>
                </c:pt>
                <c:pt idx="20">
                  <c:v>0.72413793103448276</c:v>
                </c:pt>
                <c:pt idx="21">
                  <c:v>0.73118279569892475</c:v>
                </c:pt>
                <c:pt idx="22">
                  <c:v>0.71590909090909094</c:v>
                </c:pt>
                <c:pt idx="23">
                  <c:v>0.71578947368421053</c:v>
                </c:pt>
                <c:pt idx="24">
                  <c:v>0.7078651685393258</c:v>
                </c:pt>
                <c:pt idx="25">
                  <c:v>0.73255813953488369</c:v>
                </c:pt>
                <c:pt idx="26">
                  <c:v>0.72340425531914898</c:v>
                </c:pt>
                <c:pt idx="27">
                  <c:v>0.74193548387096775</c:v>
                </c:pt>
                <c:pt idx="28">
                  <c:v>0.72916666666666663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'Emo-Dropout_knn'!$A$11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'Emo-Dropout_knn'!$B$11:$AD$11</c:f>
              <c:numCache>
                <c:formatCode>General</c:formatCode>
                <c:ptCount val="29"/>
                <c:pt idx="0">
                  <c:v>0.78612716763005797</c:v>
                </c:pt>
                <c:pt idx="1">
                  <c:v>0.78160919540229867</c:v>
                </c:pt>
                <c:pt idx="2">
                  <c:v>0.77844311377245512</c:v>
                </c:pt>
                <c:pt idx="3">
                  <c:v>0.78313253012048201</c:v>
                </c:pt>
                <c:pt idx="4">
                  <c:v>0.71942446043165464</c:v>
                </c:pt>
                <c:pt idx="5">
                  <c:v>0.71111111111111114</c:v>
                </c:pt>
                <c:pt idx="6">
                  <c:v>0.69696969696969702</c:v>
                </c:pt>
                <c:pt idx="7">
                  <c:v>0.7153284671532848</c:v>
                </c:pt>
                <c:pt idx="8">
                  <c:v>0.71874999999999989</c:v>
                </c:pt>
                <c:pt idx="9">
                  <c:v>0.73529411764705876</c:v>
                </c:pt>
                <c:pt idx="10">
                  <c:v>0.75</c:v>
                </c:pt>
                <c:pt idx="11">
                  <c:v>0.75524475524475532</c:v>
                </c:pt>
                <c:pt idx="12">
                  <c:v>0.74125874125874136</c:v>
                </c:pt>
                <c:pt idx="13">
                  <c:v>0.74172185430463566</c:v>
                </c:pt>
                <c:pt idx="14">
                  <c:v>0.7870967741935484</c:v>
                </c:pt>
                <c:pt idx="15">
                  <c:v>0.76129032258064511</c:v>
                </c:pt>
                <c:pt idx="16">
                  <c:v>0.77922077922077926</c:v>
                </c:pt>
                <c:pt idx="17">
                  <c:v>0.82208588957055218</c:v>
                </c:pt>
                <c:pt idx="18">
                  <c:v>0.77419354838709686</c:v>
                </c:pt>
                <c:pt idx="19">
                  <c:v>0.78980891719745216</c:v>
                </c:pt>
                <c:pt idx="20">
                  <c:v>0.79746835443037967</c:v>
                </c:pt>
                <c:pt idx="21">
                  <c:v>0.82424242424242433</c:v>
                </c:pt>
                <c:pt idx="22">
                  <c:v>0.78750000000000009</c:v>
                </c:pt>
                <c:pt idx="23">
                  <c:v>0.81437125748503003</c:v>
                </c:pt>
                <c:pt idx="24">
                  <c:v>0.78260869565217395</c:v>
                </c:pt>
                <c:pt idx="25">
                  <c:v>0.79746835443037967</c:v>
                </c:pt>
                <c:pt idx="26">
                  <c:v>0.81927710843373491</c:v>
                </c:pt>
                <c:pt idx="27">
                  <c:v>0.83636363636363642</c:v>
                </c:pt>
                <c:pt idx="28">
                  <c:v>0.83333333333333326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65</c:v>
                      </c:pt>
                      <c:pt idx="3">
                        <c:v>65</c:v>
                      </c:pt>
                      <c:pt idx="4">
                        <c:v>50</c:v>
                      </c:pt>
                      <c:pt idx="5">
                        <c:v>48</c:v>
                      </c:pt>
                      <c:pt idx="6">
                        <c:v>46</c:v>
                      </c:pt>
                      <c:pt idx="7">
                        <c:v>49</c:v>
                      </c:pt>
                      <c:pt idx="8">
                        <c:v>46</c:v>
                      </c:pt>
                      <c:pt idx="9">
                        <c:v>50</c:v>
                      </c:pt>
                      <c:pt idx="10">
                        <c:v>54</c:v>
                      </c:pt>
                      <c:pt idx="11">
                        <c:v>54</c:v>
                      </c:pt>
                      <c:pt idx="12">
                        <c:v>53</c:v>
                      </c:pt>
                      <c:pt idx="13">
                        <c:v>56</c:v>
                      </c:pt>
                      <c:pt idx="14">
                        <c:v>61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67</c:v>
                      </c:pt>
                      <c:pt idx="18">
                        <c:v>60</c:v>
                      </c:pt>
                      <c:pt idx="19">
                        <c:v>62</c:v>
                      </c:pt>
                      <c:pt idx="20">
                        <c:v>63</c:v>
                      </c:pt>
                      <c:pt idx="21">
                        <c:v>68</c:v>
                      </c:pt>
                      <c:pt idx="22">
                        <c:v>63</c:v>
                      </c:pt>
                      <c:pt idx="23">
                        <c:v>68</c:v>
                      </c:pt>
                      <c:pt idx="24">
                        <c:v>63</c:v>
                      </c:pt>
                      <c:pt idx="25">
                        <c:v>63</c:v>
                      </c:pt>
                      <c:pt idx="26">
                        <c:v>68</c:v>
                      </c:pt>
                      <c:pt idx="27">
                        <c:v>69</c:v>
                      </c:pt>
                      <c:pt idx="28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22</c:v>
                      </c:pt>
                      <c:pt idx="5">
                        <c:v>24</c:v>
                      </c:pt>
                      <c:pt idx="6">
                        <c:v>26</c:v>
                      </c:pt>
                      <c:pt idx="7">
                        <c:v>23</c:v>
                      </c:pt>
                      <c:pt idx="8">
                        <c:v>26</c:v>
                      </c:pt>
                      <c:pt idx="9">
                        <c:v>22</c:v>
                      </c:pt>
                      <c:pt idx="10">
                        <c:v>18</c:v>
                      </c:pt>
                      <c:pt idx="11">
                        <c:v>18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11</c:v>
                      </c:pt>
                      <c:pt idx="15">
                        <c:v>13</c:v>
                      </c:pt>
                      <c:pt idx="16">
                        <c:v>12</c:v>
                      </c:pt>
                      <c:pt idx="17">
                        <c:v>5</c:v>
                      </c:pt>
                      <c:pt idx="18">
                        <c:v>12</c:v>
                      </c:pt>
                      <c:pt idx="19">
                        <c:v>10</c:v>
                      </c:pt>
                      <c:pt idx="20">
                        <c:v>8</c:v>
                      </c:pt>
                      <c:pt idx="21">
                        <c:v>4</c:v>
                      </c:pt>
                      <c:pt idx="22">
                        <c:v>9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34</c:v>
                      </c:pt>
                      <c:pt idx="2">
                        <c:v>30</c:v>
                      </c:pt>
                      <c:pt idx="3">
                        <c:v>29</c:v>
                      </c:pt>
                      <c:pt idx="4">
                        <c:v>17</c:v>
                      </c:pt>
                      <c:pt idx="5">
                        <c:v>15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10</c:v>
                      </c:pt>
                      <c:pt idx="9">
                        <c:v>14</c:v>
                      </c:pt>
                      <c:pt idx="10">
                        <c:v>18</c:v>
                      </c:pt>
                      <c:pt idx="11">
                        <c:v>17</c:v>
                      </c:pt>
                      <c:pt idx="12">
                        <c:v>18</c:v>
                      </c:pt>
                      <c:pt idx="13">
                        <c:v>23</c:v>
                      </c:pt>
                      <c:pt idx="14">
                        <c:v>22</c:v>
                      </c:pt>
                      <c:pt idx="15">
                        <c:v>24</c:v>
                      </c:pt>
                      <c:pt idx="16">
                        <c:v>22</c:v>
                      </c:pt>
                      <c:pt idx="17">
                        <c:v>24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24</c:v>
                      </c:pt>
                      <c:pt idx="21">
                        <c:v>25</c:v>
                      </c:pt>
                      <c:pt idx="22">
                        <c:v>25</c:v>
                      </c:pt>
                      <c:pt idx="23">
                        <c:v>27</c:v>
                      </c:pt>
                      <c:pt idx="24">
                        <c:v>26</c:v>
                      </c:pt>
                      <c:pt idx="25">
                        <c:v>23</c:v>
                      </c:pt>
                      <c:pt idx="26">
                        <c:v>26</c:v>
                      </c:pt>
                      <c:pt idx="27">
                        <c:v>24</c:v>
                      </c:pt>
                      <c:pt idx="28">
                        <c:v>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95</c:v>
                      </c:pt>
                      <c:pt idx="1">
                        <c:v>94</c:v>
                      </c:pt>
                      <c:pt idx="2">
                        <c:v>98</c:v>
                      </c:pt>
                      <c:pt idx="3">
                        <c:v>99</c:v>
                      </c:pt>
                      <c:pt idx="4">
                        <c:v>111</c:v>
                      </c:pt>
                      <c:pt idx="5">
                        <c:v>113</c:v>
                      </c:pt>
                      <c:pt idx="6">
                        <c:v>114</c:v>
                      </c:pt>
                      <c:pt idx="7">
                        <c:v>112</c:v>
                      </c:pt>
                      <c:pt idx="8">
                        <c:v>118</c:v>
                      </c:pt>
                      <c:pt idx="9">
                        <c:v>114</c:v>
                      </c:pt>
                      <c:pt idx="10">
                        <c:v>110</c:v>
                      </c:pt>
                      <c:pt idx="11">
                        <c:v>111</c:v>
                      </c:pt>
                      <c:pt idx="12">
                        <c:v>110</c:v>
                      </c:pt>
                      <c:pt idx="13">
                        <c:v>105</c:v>
                      </c:pt>
                      <c:pt idx="14">
                        <c:v>106</c:v>
                      </c:pt>
                      <c:pt idx="15">
                        <c:v>104</c:v>
                      </c:pt>
                      <c:pt idx="16">
                        <c:v>106</c:v>
                      </c:pt>
                      <c:pt idx="17">
                        <c:v>104</c:v>
                      </c:pt>
                      <c:pt idx="18">
                        <c:v>105</c:v>
                      </c:pt>
                      <c:pt idx="19">
                        <c:v>105</c:v>
                      </c:pt>
                      <c:pt idx="20">
                        <c:v>105</c:v>
                      </c:pt>
                      <c:pt idx="21">
                        <c:v>103</c:v>
                      </c:pt>
                      <c:pt idx="22">
                        <c:v>103</c:v>
                      </c:pt>
                      <c:pt idx="23">
                        <c:v>101</c:v>
                      </c:pt>
                      <c:pt idx="24">
                        <c:v>102</c:v>
                      </c:pt>
                      <c:pt idx="25">
                        <c:v>105</c:v>
                      </c:pt>
                      <c:pt idx="26">
                        <c:v>102</c:v>
                      </c:pt>
                      <c:pt idx="27">
                        <c:v>104</c:v>
                      </c:pt>
                      <c:pt idx="28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0.18500000000000005</c:v>
                      </c:pt>
                      <c:pt idx="1">
                        <c:v>0.18999999999999995</c:v>
                      </c:pt>
                      <c:pt idx="2">
                        <c:v>0.18500000000000005</c:v>
                      </c:pt>
                      <c:pt idx="3">
                        <c:v>0.18000000000000005</c:v>
                      </c:pt>
                      <c:pt idx="4">
                        <c:v>0.19499999999999995</c:v>
                      </c:pt>
                      <c:pt idx="5">
                        <c:v>0.19499999999999995</c:v>
                      </c:pt>
                      <c:pt idx="6">
                        <c:v>0.19999999999999996</c:v>
                      </c:pt>
                      <c:pt idx="7">
                        <c:v>0.19499999999999995</c:v>
                      </c:pt>
                      <c:pt idx="8">
                        <c:v>0.18000000000000005</c:v>
                      </c:pt>
                      <c:pt idx="9">
                        <c:v>0.18000000000000005</c:v>
                      </c:pt>
                      <c:pt idx="10">
                        <c:v>0.18000000000000005</c:v>
                      </c:pt>
                      <c:pt idx="11">
                        <c:v>0.17500000000000004</c:v>
                      </c:pt>
                      <c:pt idx="12">
                        <c:v>0.18500000000000005</c:v>
                      </c:pt>
                      <c:pt idx="13">
                        <c:v>0.19499999999999995</c:v>
                      </c:pt>
                      <c:pt idx="14">
                        <c:v>0.16500000000000004</c:v>
                      </c:pt>
                      <c:pt idx="15">
                        <c:v>0.18500000000000005</c:v>
                      </c:pt>
                      <c:pt idx="16">
                        <c:v>0.17000000000000004</c:v>
                      </c:pt>
                      <c:pt idx="17">
                        <c:v>0.14500000000000002</c:v>
                      </c:pt>
                      <c:pt idx="18">
                        <c:v>0.17500000000000004</c:v>
                      </c:pt>
                      <c:pt idx="19">
                        <c:v>0.16500000000000004</c:v>
                      </c:pt>
                      <c:pt idx="20">
                        <c:v>0.16000000000000003</c:v>
                      </c:pt>
                      <c:pt idx="21">
                        <c:v>0.14500000000000002</c:v>
                      </c:pt>
                      <c:pt idx="22">
                        <c:v>0.17000000000000004</c:v>
                      </c:pt>
                      <c:pt idx="23">
                        <c:v>0.15500000000000003</c:v>
                      </c:pt>
                      <c:pt idx="24">
                        <c:v>0.17500000000000004</c:v>
                      </c:pt>
                      <c:pt idx="25">
                        <c:v>0.16000000000000003</c:v>
                      </c:pt>
                      <c:pt idx="26">
                        <c:v>0.15000000000000002</c:v>
                      </c:pt>
                      <c:pt idx="27">
                        <c:v>0.13500000000000001</c:v>
                      </c:pt>
                      <c:pt idx="28">
                        <c:v>0.14000000000000001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'Emo-Dropout_knn'!$B$12:$AD$12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0.7421875</c:v>
                      </c:pt>
                      <c:pt idx="1">
                        <c:v>0.734375</c:v>
                      </c:pt>
                      <c:pt idx="2">
                        <c:v>0.765625</c:v>
                      </c:pt>
                      <c:pt idx="3">
                        <c:v>0.7734375</c:v>
                      </c:pt>
                      <c:pt idx="4">
                        <c:v>0.8671875</c:v>
                      </c:pt>
                      <c:pt idx="5">
                        <c:v>0.8828125</c:v>
                      </c:pt>
                      <c:pt idx="6">
                        <c:v>0.890625</c:v>
                      </c:pt>
                      <c:pt idx="7">
                        <c:v>0.875</c:v>
                      </c:pt>
                      <c:pt idx="8">
                        <c:v>0.921875</c:v>
                      </c:pt>
                      <c:pt idx="9">
                        <c:v>0.890625</c:v>
                      </c:pt>
                      <c:pt idx="10">
                        <c:v>0.859375</c:v>
                      </c:pt>
                      <c:pt idx="11">
                        <c:v>0.8671875</c:v>
                      </c:pt>
                      <c:pt idx="12">
                        <c:v>0.859375</c:v>
                      </c:pt>
                      <c:pt idx="13">
                        <c:v>0.8203125</c:v>
                      </c:pt>
                      <c:pt idx="14">
                        <c:v>0.828125</c:v>
                      </c:pt>
                      <c:pt idx="15">
                        <c:v>0.8125</c:v>
                      </c:pt>
                      <c:pt idx="16">
                        <c:v>0.828125</c:v>
                      </c:pt>
                      <c:pt idx="17">
                        <c:v>0.8125</c:v>
                      </c:pt>
                      <c:pt idx="18">
                        <c:v>0.8203125</c:v>
                      </c:pt>
                      <c:pt idx="19">
                        <c:v>0.8203125</c:v>
                      </c:pt>
                      <c:pt idx="20">
                        <c:v>0.81395348837209303</c:v>
                      </c:pt>
                      <c:pt idx="21">
                        <c:v>0.8046875</c:v>
                      </c:pt>
                      <c:pt idx="22">
                        <c:v>0.8046875</c:v>
                      </c:pt>
                      <c:pt idx="23">
                        <c:v>0.7890625</c:v>
                      </c:pt>
                      <c:pt idx="24">
                        <c:v>0.796875</c:v>
                      </c:pt>
                      <c:pt idx="25">
                        <c:v>0.8203125</c:v>
                      </c:pt>
                      <c:pt idx="26">
                        <c:v>0.796875</c:v>
                      </c:pt>
                      <c:pt idx="27">
                        <c:v>0.8125</c:v>
                      </c:pt>
                      <c:pt idx="28">
                        <c:v>0.796875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topLeftCell="B1" zoomScale="130" zoomScaleNormal="130" workbookViewId="0">
      <selection activeCell="AD5" sqref="AD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84</v>
      </c>
      <c r="C2" s="1">
        <v>83</v>
      </c>
      <c r="D2" s="1">
        <v>85</v>
      </c>
      <c r="E2" s="1">
        <v>86</v>
      </c>
      <c r="F2" s="1">
        <v>87</v>
      </c>
      <c r="G2" s="1">
        <v>87</v>
      </c>
      <c r="H2" s="1">
        <v>88</v>
      </c>
      <c r="I2" s="1">
        <v>87</v>
      </c>
      <c r="J2" s="1">
        <v>88</v>
      </c>
      <c r="K2" s="1">
        <v>88</v>
      </c>
      <c r="L2" s="1">
        <v>86</v>
      </c>
      <c r="M2" s="1">
        <v>86</v>
      </c>
      <c r="N2" s="1">
        <v>86</v>
      </c>
      <c r="O2" s="1">
        <v>84</v>
      </c>
      <c r="P2" s="1">
        <v>86</v>
      </c>
      <c r="Q2" s="1">
        <v>85</v>
      </c>
      <c r="R2" s="1">
        <v>88</v>
      </c>
      <c r="S2" s="1">
        <v>88</v>
      </c>
      <c r="T2" s="1">
        <v>88</v>
      </c>
      <c r="U2" s="1">
        <v>88</v>
      </c>
      <c r="V2" s="1">
        <v>88</v>
      </c>
      <c r="W2" s="1">
        <v>88</v>
      </c>
      <c r="X2" s="1">
        <v>88</v>
      </c>
      <c r="Y2" s="1">
        <v>88</v>
      </c>
      <c r="Z2" s="1">
        <v>88</v>
      </c>
      <c r="AA2" s="1">
        <v>88</v>
      </c>
      <c r="AB2" s="1">
        <v>87</v>
      </c>
      <c r="AC2" s="1">
        <v>88</v>
      </c>
      <c r="AD2" s="1">
        <v>87</v>
      </c>
    </row>
    <row r="3" spans="1:30" x14ac:dyDescent="0.25">
      <c r="A3" t="s">
        <v>10</v>
      </c>
      <c r="B3" s="1">
        <v>10</v>
      </c>
      <c r="C3" s="1">
        <v>11</v>
      </c>
      <c r="D3" s="1">
        <v>9</v>
      </c>
      <c r="E3" s="1">
        <v>8</v>
      </c>
      <c r="F3" s="1">
        <v>7</v>
      </c>
      <c r="G3" s="1">
        <v>7</v>
      </c>
      <c r="H3" s="1">
        <v>6</v>
      </c>
      <c r="I3" s="1">
        <v>7</v>
      </c>
      <c r="J3" s="1">
        <v>6</v>
      </c>
      <c r="K3" s="1">
        <v>6</v>
      </c>
      <c r="L3" s="1">
        <v>8</v>
      </c>
      <c r="M3" s="1">
        <v>8</v>
      </c>
      <c r="N3" s="1">
        <v>8</v>
      </c>
      <c r="O3" s="1">
        <v>10</v>
      </c>
      <c r="P3" s="1">
        <v>8</v>
      </c>
      <c r="Q3" s="1">
        <v>9</v>
      </c>
      <c r="R3" s="1">
        <v>6</v>
      </c>
      <c r="S3" s="1">
        <v>6</v>
      </c>
      <c r="T3" s="1">
        <v>6</v>
      </c>
      <c r="U3" s="1">
        <v>6</v>
      </c>
      <c r="V3" s="1">
        <v>6</v>
      </c>
      <c r="W3" s="1">
        <v>6</v>
      </c>
      <c r="X3" s="1">
        <v>6</v>
      </c>
      <c r="Y3" s="1">
        <v>6</v>
      </c>
      <c r="Z3" s="1">
        <v>6</v>
      </c>
      <c r="AA3" s="1">
        <v>6</v>
      </c>
      <c r="AB3" s="1">
        <v>7</v>
      </c>
      <c r="AC3" s="1">
        <v>6</v>
      </c>
      <c r="AD3" s="1">
        <v>7</v>
      </c>
    </row>
    <row r="4" spans="1:30" x14ac:dyDescent="0.25">
      <c r="A4" t="s">
        <v>11</v>
      </c>
      <c r="B4" s="1">
        <v>14</v>
      </c>
      <c r="C4" s="1">
        <v>15</v>
      </c>
      <c r="D4" s="1">
        <v>20</v>
      </c>
      <c r="E4" s="1">
        <v>20</v>
      </c>
      <c r="F4" s="1">
        <v>20</v>
      </c>
      <c r="G4" s="1">
        <v>24</v>
      </c>
      <c r="H4" s="1">
        <v>25</v>
      </c>
      <c r="I4" s="1">
        <v>21</v>
      </c>
      <c r="J4" s="1">
        <v>21</v>
      </c>
      <c r="K4" s="1">
        <v>21</v>
      </c>
      <c r="L4" s="1">
        <v>18</v>
      </c>
      <c r="M4" s="1">
        <v>20</v>
      </c>
      <c r="N4" s="1">
        <v>17</v>
      </c>
      <c r="O4" s="1">
        <v>17</v>
      </c>
      <c r="P4" s="1">
        <v>15</v>
      </c>
      <c r="Q4" s="1">
        <v>15</v>
      </c>
      <c r="R4" s="1">
        <v>15</v>
      </c>
      <c r="S4" s="1">
        <v>14</v>
      </c>
      <c r="T4" s="1">
        <v>14</v>
      </c>
      <c r="U4" s="1">
        <v>13</v>
      </c>
      <c r="V4" s="1">
        <v>12</v>
      </c>
      <c r="W4" s="1">
        <v>12</v>
      </c>
      <c r="X4" s="1">
        <v>11</v>
      </c>
      <c r="Y4" s="1">
        <v>11</v>
      </c>
      <c r="Z4" s="1">
        <v>11</v>
      </c>
      <c r="AA4" s="1">
        <v>11</v>
      </c>
      <c r="AB4" s="1">
        <v>10</v>
      </c>
      <c r="AC4" s="1">
        <v>10</v>
      </c>
      <c r="AD4" s="1">
        <v>10</v>
      </c>
    </row>
    <row r="5" spans="1:30" x14ac:dyDescent="0.25">
      <c r="A5" t="s">
        <v>12</v>
      </c>
      <c r="B5" s="1">
        <f t="shared" ref="B5:G5" si="0">200-B2-B3-B4</f>
        <v>92</v>
      </c>
      <c r="C5" s="1">
        <f t="shared" si="0"/>
        <v>91</v>
      </c>
      <c r="D5" s="1">
        <f t="shared" si="0"/>
        <v>86</v>
      </c>
      <c r="E5" s="1">
        <f t="shared" si="0"/>
        <v>86</v>
      </c>
      <c r="F5" s="1">
        <f t="shared" si="0"/>
        <v>86</v>
      </c>
      <c r="G5" s="1">
        <f t="shared" si="0"/>
        <v>82</v>
      </c>
      <c r="H5" s="1">
        <f>200-H2-H3-H4</f>
        <v>81</v>
      </c>
      <c r="I5" s="1">
        <f t="shared" ref="I5:AD5" si="1">200-I2-I3-I4</f>
        <v>85</v>
      </c>
      <c r="J5" s="1">
        <f t="shared" si="1"/>
        <v>85</v>
      </c>
      <c r="K5" s="1">
        <f t="shared" si="1"/>
        <v>85</v>
      </c>
      <c r="L5" s="1">
        <f t="shared" si="1"/>
        <v>88</v>
      </c>
      <c r="M5" s="1">
        <f t="shared" si="1"/>
        <v>86</v>
      </c>
      <c r="N5" s="1">
        <f t="shared" si="1"/>
        <v>89</v>
      </c>
      <c r="O5" s="1">
        <f t="shared" si="1"/>
        <v>89</v>
      </c>
      <c r="P5" s="1">
        <f t="shared" si="1"/>
        <v>91</v>
      </c>
      <c r="Q5" s="1">
        <f t="shared" si="1"/>
        <v>91</v>
      </c>
      <c r="R5" s="1">
        <f t="shared" si="1"/>
        <v>91</v>
      </c>
      <c r="S5" s="1">
        <f t="shared" si="1"/>
        <v>92</v>
      </c>
      <c r="T5" s="1">
        <f>200-T2-T3-T4</f>
        <v>92</v>
      </c>
      <c r="U5" s="1">
        <f t="shared" si="1"/>
        <v>93</v>
      </c>
      <c r="V5" s="1">
        <f t="shared" si="1"/>
        <v>94</v>
      </c>
      <c r="W5" s="1">
        <f t="shared" si="1"/>
        <v>94</v>
      </c>
      <c r="X5" s="1">
        <f t="shared" si="1"/>
        <v>95</v>
      </c>
      <c r="Y5" s="1">
        <f t="shared" si="1"/>
        <v>95</v>
      </c>
      <c r="Z5" s="1">
        <f>200-Z2-Z3-Z4</f>
        <v>95</v>
      </c>
      <c r="AA5" s="1">
        <f>200-AA2-AA3-AA4</f>
        <v>95</v>
      </c>
      <c r="AB5" s="1">
        <f t="shared" si="1"/>
        <v>96</v>
      </c>
      <c r="AC5" s="1">
        <f t="shared" si="1"/>
        <v>96</v>
      </c>
      <c r="AD5" s="1">
        <f t="shared" si="1"/>
        <v>96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0.88</v>
      </c>
      <c r="C7" s="1">
        <f t="shared" ref="C7:AD7" si="3">(C5+C2)/C6</f>
        <v>0.87</v>
      </c>
      <c r="D7" s="1">
        <f t="shared" si="3"/>
        <v>0.85499999999999998</v>
      </c>
      <c r="E7" s="1">
        <f t="shared" si="3"/>
        <v>0.86</v>
      </c>
      <c r="F7" s="1">
        <f t="shared" si="3"/>
        <v>0.86499999999999999</v>
      </c>
      <c r="G7" s="1">
        <f t="shared" si="3"/>
        <v>0.84499999999999997</v>
      </c>
      <c r="H7" s="3">
        <f t="shared" si="3"/>
        <v>0.84499999999999997</v>
      </c>
      <c r="I7" s="1">
        <f t="shared" si="3"/>
        <v>0.86</v>
      </c>
      <c r="J7" s="1">
        <f t="shared" si="3"/>
        <v>0.86499999999999999</v>
      </c>
      <c r="K7" s="5">
        <f t="shared" si="3"/>
        <v>0.86499999999999999</v>
      </c>
      <c r="L7" s="1">
        <f t="shared" si="3"/>
        <v>0.87</v>
      </c>
      <c r="M7" s="5">
        <f t="shared" si="3"/>
        <v>0.86</v>
      </c>
      <c r="N7" s="1">
        <f t="shared" si="3"/>
        <v>0.875</v>
      </c>
      <c r="O7" s="1">
        <f t="shared" si="3"/>
        <v>0.86499999999999999</v>
      </c>
      <c r="P7" s="1">
        <f t="shared" si="3"/>
        <v>0.88500000000000001</v>
      </c>
      <c r="Q7" s="1">
        <f t="shared" si="3"/>
        <v>0.88</v>
      </c>
      <c r="R7" s="1">
        <f t="shared" si="3"/>
        <v>0.89500000000000002</v>
      </c>
      <c r="S7" s="1">
        <f t="shared" si="3"/>
        <v>0.9</v>
      </c>
      <c r="T7" s="1">
        <f t="shared" si="3"/>
        <v>0.9</v>
      </c>
      <c r="U7" s="1">
        <f t="shared" si="3"/>
        <v>0.90500000000000003</v>
      </c>
      <c r="V7" s="1">
        <f t="shared" si="3"/>
        <v>0.91</v>
      </c>
      <c r="W7" s="1">
        <f t="shared" si="3"/>
        <v>0.91</v>
      </c>
      <c r="X7" s="1">
        <f t="shared" si="3"/>
        <v>0.91500000000000004</v>
      </c>
      <c r="Y7" s="1">
        <f t="shared" si="3"/>
        <v>0.91500000000000004</v>
      </c>
      <c r="Z7" s="1">
        <f t="shared" si="3"/>
        <v>0.91500000000000004</v>
      </c>
      <c r="AA7" s="1">
        <f t="shared" si="3"/>
        <v>0.91500000000000004</v>
      </c>
      <c r="AB7" s="1">
        <f t="shared" si="3"/>
        <v>0.91500000000000004</v>
      </c>
      <c r="AC7" s="1">
        <f t="shared" si="3"/>
        <v>0.92</v>
      </c>
      <c r="AD7" s="3">
        <f t="shared" si="3"/>
        <v>0.91500000000000004</v>
      </c>
    </row>
    <row r="8" spans="1:30" x14ac:dyDescent="0.25">
      <c r="A8" t="s">
        <v>1</v>
      </c>
      <c r="B8" s="1">
        <f>1-B7</f>
        <v>0.12</v>
      </c>
      <c r="C8" s="1">
        <f t="shared" ref="C8:AD8" si="4">1-C7</f>
        <v>0.13</v>
      </c>
      <c r="D8" s="1">
        <f t="shared" si="4"/>
        <v>0.14500000000000002</v>
      </c>
      <c r="E8" s="1">
        <f t="shared" si="4"/>
        <v>0.14000000000000001</v>
      </c>
      <c r="F8" s="1">
        <f t="shared" si="4"/>
        <v>0.13500000000000001</v>
      </c>
      <c r="G8" s="1">
        <f t="shared" si="4"/>
        <v>0.15500000000000003</v>
      </c>
      <c r="H8" s="3">
        <f t="shared" si="4"/>
        <v>0.15500000000000003</v>
      </c>
      <c r="I8" s="1">
        <f t="shared" si="4"/>
        <v>0.14000000000000001</v>
      </c>
      <c r="J8" s="1">
        <f t="shared" si="4"/>
        <v>0.13500000000000001</v>
      </c>
      <c r="K8" s="5">
        <f t="shared" si="4"/>
        <v>0.13500000000000001</v>
      </c>
      <c r="L8" s="1">
        <f t="shared" si="4"/>
        <v>0.13</v>
      </c>
      <c r="M8" s="5">
        <f t="shared" si="4"/>
        <v>0.14000000000000001</v>
      </c>
      <c r="N8" s="1">
        <f t="shared" si="4"/>
        <v>0.125</v>
      </c>
      <c r="O8" s="1">
        <f t="shared" si="4"/>
        <v>0.13500000000000001</v>
      </c>
      <c r="P8" s="1">
        <f t="shared" si="4"/>
        <v>0.11499999999999999</v>
      </c>
      <c r="Q8" s="1">
        <f t="shared" si="4"/>
        <v>0.12</v>
      </c>
      <c r="R8" s="1">
        <f t="shared" si="4"/>
        <v>0.10499999999999998</v>
      </c>
      <c r="S8" s="1">
        <f t="shared" si="4"/>
        <v>9.9999999999999978E-2</v>
      </c>
      <c r="T8" s="1">
        <f t="shared" si="4"/>
        <v>9.9999999999999978E-2</v>
      </c>
      <c r="U8" s="1">
        <f t="shared" si="4"/>
        <v>9.4999999999999973E-2</v>
      </c>
      <c r="V8" s="1">
        <f t="shared" si="4"/>
        <v>8.9999999999999969E-2</v>
      </c>
      <c r="W8" s="1">
        <f t="shared" si="4"/>
        <v>8.9999999999999969E-2</v>
      </c>
      <c r="X8" s="1">
        <f t="shared" si="4"/>
        <v>8.4999999999999964E-2</v>
      </c>
      <c r="Y8" s="1">
        <f t="shared" si="4"/>
        <v>8.4999999999999964E-2</v>
      </c>
      <c r="Z8" s="1">
        <f t="shared" si="4"/>
        <v>8.4999999999999964E-2</v>
      </c>
      <c r="AA8" s="1">
        <f t="shared" si="4"/>
        <v>8.4999999999999964E-2</v>
      </c>
      <c r="AB8" s="1">
        <f t="shared" si="4"/>
        <v>8.4999999999999964E-2</v>
      </c>
      <c r="AC8" s="1">
        <f t="shared" si="4"/>
        <v>7.999999999999996E-2</v>
      </c>
      <c r="AD8" s="3">
        <f t="shared" si="4"/>
        <v>8.4999999999999964E-2</v>
      </c>
    </row>
    <row r="9" spans="1:30" x14ac:dyDescent="0.25">
      <c r="A9" t="s">
        <v>24</v>
      </c>
      <c r="B9" s="1">
        <f>B2/(B2+B3)</f>
        <v>0.8936170212765957</v>
      </c>
      <c r="C9" s="1">
        <f t="shared" ref="C9:AD9" si="5">C2/(C2+C3)</f>
        <v>0.88297872340425532</v>
      </c>
      <c r="D9" s="1">
        <f t="shared" si="5"/>
        <v>0.9042553191489362</v>
      </c>
      <c r="E9" s="1">
        <f t="shared" si="5"/>
        <v>0.91489361702127658</v>
      </c>
      <c r="F9" s="1">
        <f t="shared" si="5"/>
        <v>0.92553191489361697</v>
      </c>
      <c r="G9" s="1">
        <f t="shared" si="5"/>
        <v>0.92553191489361697</v>
      </c>
      <c r="H9" s="3">
        <f t="shared" si="5"/>
        <v>0.93617021276595747</v>
      </c>
      <c r="I9" s="1">
        <f t="shared" si="5"/>
        <v>0.92553191489361697</v>
      </c>
      <c r="J9" s="1">
        <f t="shared" si="5"/>
        <v>0.93617021276595747</v>
      </c>
      <c r="K9" s="5">
        <f t="shared" si="5"/>
        <v>0.93617021276595747</v>
      </c>
      <c r="L9" s="1">
        <f t="shared" si="5"/>
        <v>0.91489361702127658</v>
      </c>
      <c r="M9" s="5">
        <f t="shared" si="5"/>
        <v>0.91489361702127658</v>
      </c>
      <c r="N9" s="1">
        <f t="shared" si="5"/>
        <v>0.91489361702127658</v>
      </c>
      <c r="O9" s="1">
        <f t="shared" si="5"/>
        <v>0.8936170212765957</v>
      </c>
      <c r="P9" s="1">
        <f t="shared" si="5"/>
        <v>0.91489361702127658</v>
      </c>
      <c r="Q9" s="1">
        <f t="shared" si="5"/>
        <v>0.9042553191489362</v>
      </c>
      <c r="R9" s="1">
        <f t="shared" si="5"/>
        <v>0.93617021276595747</v>
      </c>
      <c r="S9" s="1">
        <f t="shared" si="5"/>
        <v>0.93617021276595747</v>
      </c>
      <c r="T9" s="1">
        <f t="shared" si="5"/>
        <v>0.93617021276595747</v>
      </c>
      <c r="U9" s="1">
        <f t="shared" si="5"/>
        <v>0.93617021276595747</v>
      </c>
      <c r="V9" s="1">
        <f t="shared" si="5"/>
        <v>0.93617021276595747</v>
      </c>
      <c r="W9" s="1">
        <f t="shared" si="5"/>
        <v>0.93617021276595747</v>
      </c>
      <c r="X9" s="1">
        <f t="shared" si="5"/>
        <v>0.93617021276595747</v>
      </c>
      <c r="Y9" s="1">
        <f t="shared" si="5"/>
        <v>0.93617021276595747</v>
      </c>
      <c r="Z9" s="1">
        <f t="shared" si="5"/>
        <v>0.93617021276595747</v>
      </c>
      <c r="AA9" s="1">
        <f t="shared" si="5"/>
        <v>0.93617021276595747</v>
      </c>
      <c r="AB9" s="1">
        <f t="shared" si="5"/>
        <v>0.92553191489361697</v>
      </c>
      <c r="AC9" s="1">
        <f t="shared" si="5"/>
        <v>0.93617021276595747</v>
      </c>
      <c r="AD9" s="3">
        <f t="shared" si="5"/>
        <v>0.92553191489361697</v>
      </c>
    </row>
    <row r="10" spans="1:30" x14ac:dyDescent="0.25">
      <c r="A10" t="s">
        <v>23</v>
      </c>
      <c r="B10" s="1">
        <f>B2/(B2+B4)</f>
        <v>0.8571428571428571</v>
      </c>
      <c r="C10" s="1">
        <f t="shared" ref="C10:AD10" si="6">C2/(C2+C4)</f>
        <v>0.84693877551020413</v>
      </c>
      <c r="D10" s="1">
        <f t="shared" si="6"/>
        <v>0.80952380952380953</v>
      </c>
      <c r="E10" s="1">
        <f t="shared" si="6"/>
        <v>0.81132075471698117</v>
      </c>
      <c r="F10" s="1">
        <f t="shared" si="6"/>
        <v>0.81308411214953269</v>
      </c>
      <c r="G10" s="1">
        <f t="shared" si="6"/>
        <v>0.78378378378378377</v>
      </c>
      <c r="H10" s="3">
        <f t="shared" si="6"/>
        <v>0.77876106194690264</v>
      </c>
      <c r="I10" s="1">
        <f t="shared" si="6"/>
        <v>0.80555555555555558</v>
      </c>
      <c r="J10" s="1">
        <f t="shared" si="6"/>
        <v>0.80733944954128445</v>
      </c>
      <c r="K10" s="5">
        <f t="shared" si="6"/>
        <v>0.80733944954128445</v>
      </c>
      <c r="L10" s="1">
        <f t="shared" si="6"/>
        <v>0.82692307692307687</v>
      </c>
      <c r="M10" s="5">
        <f t="shared" si="6"/>
        <v>0.81132075471698117</v>
      </c>
      <c r="N10" s="1">
        <f t="shared" si="6"/>
        <v>0.83495145631067957</v>
      </c>
      <c r="O10" s="1">
        <f t="shared" si="6"/>
        <v>0.83168316831683164</v>
      </c>
      <c r="P10" s="1">
        <f t="shared" si="6"/>
        <v>0.85148514851485146</v>
      </c>
      <c r="Q10" s="1">
        <f t="shared" si="6"/>
        <v>0.85</v>
      </c>
      <c r="R10" s="1">
        <f t="shared" si="6"/>
        <v>0.85436893203883491</v>
      </c>
      <c r="S10" s="1">
        <f t="shared" si="6"/>
        <v>0.86274509803921573</v>
      </c>
      <c r="T10" s="1">
        <f t="shared" si="6"/>
        <v>0.86274509803921573</v>
      </c>
      <c r="U10" s="1">
        <f t="shared" si="6"/>
        <v>0.87128712871287128</v>
      </c>
      <c r="V10" s="1">
        <f t="shared" si="6"/>
        <v>0.88</v>
      </c>
      <c r="W10" s="1">
        <f t="shared" si="6"/>
        <v>0.88</v>
      </c>
      <c r="X10" s="1">
        <f t="shared" si="6"/>
        <v>0.88888888888888884</v>
      </c>
      <c r="Y10" s="1">
        <f t="shared" si="6"/>
        <v>0.88888888888888884</v>
      </c>
      <c r="Z10" s="1">
        <f t="shared" si="6"/>
        <v>0.88888888888888884</v>
      </c>
      <c r="AA10" s="1">
        <f t="shared" si="6"/>
        <v>0.88888888888888884</v>
      </c>
      <c r="AB10" s="1">
        <f t="shared" si="6"/>
        <v>0.89690721649484539</v>
      </c>
      <c r="AC10" s="1">
        <f t="shared" si="6"/>
        <v>0.89795918367346939</v>
      </c>
      <c r="AD10" s="3">
        <f t="shared" si="6"/>
        <v>0.89690721649484539</v>
      </c>
    </row>
    <row r="11" spans="1:30" x14ac:dyDescent="0.25">
      <c r="A11" t="s">
        <v>13</v>
      </c>
      <c r="B11" s="1">
        <f>2*B9*B10/(B9+B10)</f>
        <v>0.875</v>
      </c>
      <c r="C11" s="1">
        <f t="shared" ref="C11:AD11" si="7">2*C9*C10/(C9+C10)</f>
        <v>0.86458333333333337</v>
      </c>
      <c r="D11" s="1">
        <f t="shared" si="7"/>
        <v>0.85427135678391952</v>
      </c>
      <c r="E11" s="1">
        <f t="shared" si="7"/>
        <v>0.8600000000000001</v>
      </c>
      <c r="F11" s="1">
        <f t="shared" si="7"/>
        <v>0.86567164179104472</v>
      </c>
      <c r="G11" s="1">
        <f t="shared" si="7"/>
        <v>0.84878048780487803</v>
      </c>
      <c r="H11" s="3">
        <f t="shared" si="7"/>
        <v>0.85024154589371992</v>
      </c>
      <c r="I11" s="1">
        <f t="shared" si="7"/>
        <v>0.86138613861386137</v>
      </c>
      <c r="J11" s="1">
        <f t="shared" si="7"/>
        <v>0.86699507389162567</v>
      </c>
      <c r="K11" s="5">
        <f t="shared" si="7"/>
        <v>0.86699507389162567</v>
      </c>
      <c r="L11" s="1">
        <f t="shared" si="7"/>
        <v>0.86868686868686862</v>
      </c>
      <c r="M11" s="5">
        <f t="shared" si="7"/>
        <v>0.8600000000000001</v>
      </c>
      <c r="N11" s="1">
        <f t="shared" si="7"/>
        <v>0.87309644670050768</v>
      </c>
      <c r="O11" s="1">
        <f t="shared" si="7"/>
        <v>0.86153846153846148</v>
      </c>
      <c r="P11" s="1">
        <f t="shared" si="7"/>
        <v>0.88205128205128214</v>
      </c>
      <c r="Q11" s="1">
        <f t="shared" si="7"/>
        <v>0.87628865979381432</v>
      </c>
      <c r="R11" s="1">
        <f t="shared" si="7"/>
        <v>0.8934010152284263</v>
      </c>
      <c r="S11" s="1">
        <f t="shared" si="7"/>
        <v>0.89795918367346939</v>
      </c>
      <c r="T11" s="1">
        <f t="shared" si="7"/>
        <v>0.89795918367346939</v>
      </c>
      <c r="U11" s="1">
        <f t="shared" si="7"/>
        <v>0.90256410256410269</v>
      </c>
      <c r="V11" s="1">
        <f t="shared" si="7"/>
        <v>0.90721649484536082</v>
      </c>
      <c r="W11" s="1">
        <f t="shared" si="7"/>
        <v>0.90721649484536082</v>
      </c>
      <c r="X11" s="1">
        <f t="shared" si="7"/>
        <v>0.91191709844559588</v>
      </c>
      <c r="Y11" s="1">
        <f t="shared" si="7"/>
        <v>0.91191709844559588</v>
      </c>
      <c r="Z11" s="1">
        <f t="shared" si="7"/>
        <v>0.91191709844559588</v>
      </c>
      <c r="AA11" s="1">
        <f t="shared" si="7"/>
        <v>0.91191709844559588</v>
      </c>
      <c r="AB11" s="1">
        <f t="shared" si="7"/>
        <v>0.91099476439790572</v>
      </c>
      <c r="AC11" s="1">
        <f t="shared" si="7"/>
        <v>0.91666666666666663</v>
      </c>
      <c r="AD11" s="3">
        <f t="shared" si="7"/>
        <v>0.91099476439790572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8">C5/(C4+C5)</f>
        <v>0.85849056603773588</v>
      </c>
      <c r="D12" s="1">
        <f t="shared" si="8"/>
        <v>0.81132075471698117</v>
      </c>
      <c r="E12" s="1">
        <f t="shared" si="8"/>
        <v>0.81132075471698117</v>
      </c>
      <c r="F12" s="1">
        <f t="shared" si="8"/>
        <v>0.81132075471698117</v>
      </c>
      <c r="G12" s="1">
        <f t="shared" si="8"/>
        <v>0.77358490566037741</v>
      </c>
      <c r="H12" s="3">
        <f t="shared" si="8"/>
        <v>0.76415094339622647</v>
      </c>
      <c r="I12" s="1">
        <f t="shared" si="8"/>
        <v>0.80188679245283023</v>
      </c>
      <c r="J12" s="1">
        <f t="shared" si="8"/>
        <v>0.80188679245283023</v>
      </c>
      <c r="K12" s="5">
        <f t="shared" si="8"/>
        <v>0.80188679245283023</v>
      </c>
      <c r="L12" s="1">
        <f t="shared" si="8"/>
        <v>0.83018867924528306</v>
      </c>
      <c r="M12" s="5">
        <f t="shared" si="8"/>
        <v>0.81132075471698117</v>
      </c>
      <c r="N12" s="1">
        <f t="shared" si="8"/>
        <v>0.839622641509434</v>
      </c>
      <c r="O12" s="1">
        <f t="shared" si="8"/>
        <v>0.839622641509434</v>
      </c>
      <c r="P12" s="1">
        <f t="shared" si="8"/>
        <v>0.85849056603773588</v>
      </c>
      <c r="Q12" s="1">
        <f t="shared" si="8"/>
        <v>0.85849056603773588</v>
      </c>
      <c r="R12" s="1">
        <f t="shared" si="8"/>
        <v>0.85849056603773588</v>
      </c>
      <c r="S12" s="1">
        <f t="shared" si="8"/>
        <v>0.86792452830188682</v>
      </c>
      <c r="T12" s="1">
        <f t="shared" si="8"/>
        <v>0.86792452830188682</v>
      </c>
      <c r="U12" s="1">
        <f t="shared" si="8"/>
        <v>0.87735849056603776</v>
      </c>
      <c r="V12" s="1">
        <f t="shared" si="8"/>
        <v>0.8867924528301887</v>
      </c>
      <c r="W12" s="1">
        <f t="shared" si="8"/>
        <v>0.8867924528301887</v>
      </c>
      <c r="X12" s="1">
        <f t="shared" si="8"/>
        <v>0.89622641509433965</v>
      </c>
      <c r="Y12" s="1">
        <f t="shared" si="8"/>
        <v>0.89622641509433965</v>
      </c>
      <c r="Z12" s="1">
        <f t="shared" si="8"/>
        <v>0.89622641509433965</v>
      </c>
      <c r="AA12" s="1">
        <f t="shared" si="8"/>
        <v>0.89622641509433965</v>
      </c>
      <c r="AB12" s="1">
        <f t="shared" si="8"/>
        <v>0.90566037735849059</v>
      </c>
      <c r="AC12" s="1">
        <f t="shared" si="8"/>
        <v>0.90566037735849059</v>
      </c>
      <c r="AD12" s="3">
        <f t="shared" si="8"/>
        <v>0.90566037735849059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5">
        <v>0.9</v>
      </c>
      <c r="L13" s="1">
        <v>0.9</v>
      </c>
      <c r="M13" s="5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8</v>
      </c>
      <c r="G2" s="1">
        <v>8</v>
      </c>
      <c r="H2" s="1">
        <v>8</v>
      </c>
      <c r="I2" s="1">
        <v>7</v>
      </c>
      <c r="J2" s="1">
        <v>11</v>
      </c>
      <c r="K2" s="1">
        <v>8</v>
      </c>
      <c r="L2" s="1">
        <v>8</v>
      </c>
      <c r="M2" s="1">
        <v>7</v>
      </c>
      <c r="N2" s="1">
        <v>9</v>
      </c>
      <c r="O2" s="1">
        <v>7</v>
      </c>
      <c r="P2" s="1">
        <v>5</v>
      </c>
      <c r="Q2" s="1">
        <v>3</v>
      </c>
      <c r="R2" s="1">
        <v>3</v>
      </c>
      <c r="S2" s="1">
        <v>3</v>
      </c>
      <c r="T2" s="1">
        <v>4</v>
      </c>
      <c r="U2" s="1">
        <v>4</v>
      </c>
      <c r="V2" s="1">
        <v>4</v>
      </c>
      <c r="W2" s="1">
        <v>3</v>
      </c>
      <c r="X2" s="1">
        <v>4</v>
      </c>
      <c r="Y2" s="1">
        <v>2</v>
      </c>
      <c r="Z2" s="1">
        <v>2</v>
      </c>
      <c r="AA2" s="1">
        <v>5</v>
      </c>
      <c r="AB2" s="1">
        <v>3</v>
      </c>
      <c r="AC2" s="1">
        <v>5</v>
      </c>
      <c r="AD2" s="1">
        <v>4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26</v>
      </c>
      <c r="G3" s="1">
        <v>26</v>
      </c>
      <c r="H3" s="1">
        <v>26</v>
      </c>
      <c r="I3" s="1">
        <v>29</v>
      </c>
      <c r="J3" s="1">
        <v>23</v>
      </c>
      <c r="K3" s="1">
        <v>26</v>
      </c>
      <c r="L3" s="1">
        <v>26</v>
      </c>
      <c r="M3" s="1">
        <v>27</v>
      </c>
      <c r="N3" s="1">
        <v>25</v>
      </c>
      <c r="O3" s="1">
        <v>27</v>
      </c>
      <c r="P3" s="1">
        <v>29</v>
      </c>
      <c r="Q3" s="1">
        <v>31</v>
      </c>
      <c r="R3" s="1">
        <v>31</v>
      </c>
      <c r="S3" s="1">
        <v>31</v>
      </c>
      <c r="T3" s="1">
        <v>30</v>
      </c>
      <c r="U3" s="1">
        <v>30</v>
      </c>
      <c r="V3" s="1">
        <v>30</v>
      </c>
      <c r="W3" s="1">
        <v>31</v>
      </c>
      <c r="X3" s="1">
        <v>30</v>
      </c>
      <c r="Y3" s="1">
        <v>32</v>
      </c>
      <c r="Z3" s="1">
        <v>32</v>
      </c>
      <c r="AA3" s="1">
        <v>29</v>
      </c>
      <c r="AB3" s="1">
        <v>31</v>
      </c>
      <c r="AC3" s="1">
        <v>29</v>
      </c>
      <c r="AD3" s="1">
        <v>30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18</v>
      </c>
      <c r="G4" s="1">
        <v>18</v>
      </c>
      <c r="H4" s="1">
        <v>19</v>
      </c>
      <c r="I4" s="1">
        <v>20</v>
      </c>
      <c r="J4" s="1">
        <v>24</v>
      </c>
      <c r="K4" s="1">
        <v>19</v>
      </c>
      <c r="L4" s="1">
        <v>15</v>
      </c>
      <c r="M4" s="1">
        <v>16</v>
      </c>
      <c r="N4" s="1">
        <v>16</v>
      </c>
      <c r="O4" s="1">
        <v>13</v>
      </c>
      <c r="P4" s="1">
        <v>11</v>
      </c>
      <c r="Q4" s="1">
        <v>14</v>
      </c>
      <c r="R4" s="1">
        <v>12</v>
      </c>
      <c r="S4" s="1">
        <v>4</v>
      </c>
      <c r="T4" s="1">
        <v>12</v>
      </c>
      <c r="U4" s="1">
        <v>10</v>
      </c>
      <c r="V4" s="1">
        <v>10</v>
      </c>
      <c r="W4" s="1">
        <v>4</v>
      </c>
      <c r="X4" s="1">
        <v>9</v>
      </c>
      <c r="Y4" s="1">
        <v>4</v>
      </c>
      <c r="Z4" s="1">
        <v>10</v>
      </c>
      <c r="AA4" s="1">
        <v>10</v>
      </c>
      <c r="AB4" s="1">
        <v>6</v>
      </c>
      <c r="AC4" s="1">
        <v>4</v>
      </c>
      <c r="AD4" s="1">
        <v>3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148</v>
      </c>
      <c r="G5" s="1">
        <f t="shared" si="0"/>
        <v>148</v>
      </c>
      <c r="H5" s="1">
        <f>200-H2-H3-H4</f>
        <v>147</v>
      </c>
      <c r="I5" s="1">
        <f t="shared" ref="I5:AD5" si="1">200-I2-I3-I4</f>
        <v>144</v>
      </c>
      <c r="J5" s="1">
        <f t="shared" si="1"/>
        <v>142</v>
      </c>
      <c r="K5" s="1">
        <f t="shared" si="1"/>
        <v>147</v>
      </c>
      <c r="L5" s="1">
        <f t="shared" si="1"/>
        <v>151</v>
      </c>
      <c r="M5" s="1">
        <f t="shared" si="1"/>
        <v>150</v>
      </c>
      <c r="N5" s="1">
        <f t="shared" si="1"/>
        <v>150</v>
      </c>
      <c r="O5" s="1">
        <f t="shared" si="1"/>
        <v>153</v>
      </c>
      <c r="P5" s="1">
        <f t="shared" si="1"/>
        <v>155</v>
      </c>
      <c r="Q5" s="1">
        <f t="shared" si="1"/>
        <v>152</v>
      </c>
      <c r="R5" s="1">
        <f t="shared" si="1"/>
        <v>154</v>
      </c>
      <c r="S5" s="1">
        <f t="shared" si="1"/>
        <v>162</v>
      </c>
      <c r="T5" s="1">
        <f>200-T2-T3-T4</f>
        <v>154</v>
      </c>
      <c r="U5" s="1">
        <f t="shared" si="1"/>
        <v>156</v>
      </c>
      <c r="V5" s="1">
        <f t="shared" si="1"/>
        <v>156</v>
      </c>
      <c r="W5" s="1">
        <f t="shared" si="1"/>
        <v>162</v>
      </c>
      <c r="X5" s="1">
        <f t="shared" si="1"/>
        <v>157</v>
      </c>
      <c r="Y5" s="1">
        <f t="shared" si="1"/>
        <v>162</v>
      </c>
      <c r="Z5" s="1">
        <f t="shared" si="1"/>
        <v>156</v>
      </c>
      <c r="AA5" s="1">
        <f>200-AA2-AA3-AA4</f>
        <v>156</v>
      </c>
      <c r="AB5" s="1">
        <f t="shared" si="1"/>
        <v>160</v>
      </c>
      <c r="AC5" s="1">
        <f t="shared" si="1"/>
        <v>162</v>
      </c>
      <c r="AD5" s="1">
        <f t="shared" si="1"/>
        <v>163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0.78</v>
      </c>
      <c r="G7" s="1">
        <f t="shared" si="3"/>
        <v>0.78</v>
      </c>
      <c r="H7" s="1">
        <f t="shared" si="3"/>
        <v>0.77500000000000002</v>
      </c>
      <c r="I7" s="1">
        <f t="shared" si="3"/>
        <v>0.755</v>
      </c>
      <c r="J7" s="1">
        <f t="shared" si="3"/>
        <v>0.76500000000000001</v>
      </c>
      <c r="K7" s="1">
        <f t="shared" si="3"/>
        <v>0.77500000000000002</v>
      </c>
      <c r="L7" s="1">
        <f t="shared" si="3"/>
        <v>0.79500000000000004</v>
      </c>
      <c r="M7" s="1">
        <f t="shared" si="3"/>
        <v>0.78500000000000003</v>
      </c>
      <c r="N7" s="1">
        <f t="shared" si="3"/>
        <v>0.79500000000000004</v>
      </c>
      <c r="O7" s="1">
        <f t="shared" si="3"/>
        <v>0.8</v>
      </c>
      <c r="P7" s="1">
        <f t="shared" si="3"/>
        <v>0.8</v>
      </c>
      <c r="Q7" s="1">
        <f t="shared" si="3"/>
        <v>0.77500000000000002</v>
      </c>
      <c r="R7" s="1">
        <f t="shared" si="3"/>
        <v>0.78500000000000003</v>
      </c>
      <c r="S7" s="1">
        <f t="shared" si="3"/>
        <v>0.82499999999999996</v>
      </c>
      <c r="T7" s="4">
        <f t="shared" si="3"/>
        <v>0.79</v>
      </c>
      <c r="U7" s="1">
        <f t="shared" si="3"/>
        <v>0.8</v>
      </c>
      <c r="V7" s="1">
        <f t="shared" si="3"/>
        <v>0.8</v>
      </c>
      <c r="W7" s="1">
        <f t="shared" si="3"/>
        <v>0.82499999999999996</v>
      </c>
      <c r="X7" s="3">
        <f t="shared" si="3"/>
        <v>0.80500000000000005</v>
      </c>
      <c r="Y7" s="1">
        <f t="shared" si="3"/>
        <v>0.82</v>
      </c>
      <c r="Z7" s="1">
        <f t="shared" si="3"/>
        <v>0.79</v>
      </c>
      <c r="AA7" s="1">
        <f t="shared" si="3"/>
        <v>0.80500000000000005</v>
      </c>
      <c r="AB7" s="1">
        <f t="shared" si="3"/>
        <v>0.81499999999999995</v>
      </c>
      <c r="AC7" s="1">
        <f t="shared" si="3"/>
        <v>0.83499999999999996</v>
      </c>
      <c r="AD7" s="6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0.21999999999999997</v>
      </c>
      <c r="G8" s="1">
        <f t="shared" si="4"/>
        <v>0.21999999999999997</v>
      </c>
      <c r="H8" s="1">
        <f t="shared" si="4"/>
        <v>0.22499999999999998</v>
      </c>
      <c r="I8" s="1">
        <f t="shared" si="4"/>
        <v>0.245</v>
      </c>
      <c r="J8" s="1">
        <f t="shared" si="4"/>
        <v>0.23499999999999999</v>
      </c>
      <c r="K8" s="1">
        <f t="shared" si="4"/>
        <v>0.22499999999999998</v>
      </c>
      <c r="L8" s="1">
        <f t="shared" si="4"/>
        <v>0.20499999999999996</v>
      </c>
      <c r="M8" s="1">
        <f t="shared" si="4"/>
        <v>0.21499999999999997</v>
      </c>
      <c r="N8" s="1">
        <f t="shared" si="4"/>
        <v>0.20499999999999996</v>
      </c>
      <c r="O8" s="1">
        <f t="shared" si="4"/>
        <v>0.19999999999999996</v>
      </c>
      <c r="P8" s="1">
        <f t="shared" si="4"/>
        <v>0.19999999999999996</v>
      </c>
      <c r="Q8" s="1">
        <f t="shared" si="4"/>
        <v>0.22499999999999998</v>
      </c>
      <c r="R8" s="1">
        <f t="shared" si="4"/>
        <v>0.21499999999999997</v>
      </c>
      <c r="S8" s="1">
        <f t="shared" si="4"/>
        <v>0.17500000000000004</v>
      </c>
      <c r="T8" s="4">
        <f t="shared" si="4"/>
        <v>0.20999999999999996</v>
      </c>
      <c r="U8" s="1">
        <f t="shared" si="4"/>
        <v>0.19999999999999996</v>
      </c>
      <c r="V8" s="1">
        <f t="shared" si="4"/>
        <v>0.19999999999999996</v>
      </c>
      <c r="W8" s="1">
        <f t="shared" si="4"/>
        <v>0.17500000000000004</v>
      </c>
      <c r="X8" s="3">
        <f t="shared" si="4"/>
        <v>0.19499999999999995</v>
      </c>
      <c r="Y8" s="1">
        <f t="shared" si="4"/>
        <v>0.18000000000000005</v>
      </c>
      <c r="Z8" s="1">
        <f t="shared" si="4"/>
        <v>0.20999999999999996</v>
      </c>
      <c r="AA8" s="1">
        <f t="shared" si="4"/>
        <v>0.19499999999999995</v>
      </c>
      <c r="AB8" s="1">
        <f t="shared" si="4"/>
        <v>0.18500000000000005</v>
      </c>
      <c r="AC8" s="1">
        <f t="shared" si="4"/>
        <v>0.16500000000000004</v>
      </c>
      <c r="AD8" s="6">
        <f t="shared" si="4"/>
        <v>0.16500000000000004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0.23529411764705882</v>
      </c>
      <c r="G9" s="1">
        <f t="shared" si="5"/>
        <v>0.23529411764705882</v>
      </c>
      <c r="H9" s="1">
        <f t="shared" si="5"/>
        <v>0.23529411764705882</v>
      </c>
      <c r="I9" s="1">
        <f t="shared" si="5"/>
        <v>0.19444444444444445</v>
      </c>
      <c r="J9" s="1">
        <f t="shared" si="5"/>
        <v>0.3235294117647059</v>
      </c>
      <c r="K9" s="1">
        <f t="shared" si="5"/>
        <v>0.23529411764705882</v>
      </c>
      <c r="L9" s="1">
        <f t="shared" si="5"/>
        <v>0.23529411764705882</v>
      </c>
      <c r="M9" s="1">
        <f t="shared" si="5"/>
        <v>0.20588235294117646</v>
      </c>
      <c r="N9" s="1">
        <f t="shared" si="5"/>
        <v>0.26470588235294118</v>
      </c>
      <c r="O9" s="1">
        <f t="shared" si="5"/>
        <v>0.20588235294117646</v>
      </c>
      <c r="P9" s="1">
        <f t="shared" si="5"/>
        <v>0.14705882352941177</v>
      </c>
      <c r="Q9" s="1">
        <f t="shared" si="5"/>
        <v>8.8235294117647065E-2</v>
      </c>
      <c r="R9" s="1">
        <f t="shared" si="5"/>
        <v>8.8235294117647065E-2</v>
      </c>
      <c r="S9" s="1">
        <f t="shared" si="5"/>
        <v>8.8235294117647065E-2</v>
      </c>
      <c r="T9" s="4">
        <f t="shared" si="5"/>
        <v>0.11764705882352941</v>
      </c>
      <c r="U9" s="1">
        <f t="shared" si="5"/>
        <v>0.11764705882352941</v>
      </c>
      <c r="V9" s="1">
        <f t="shared" si="5"/>
        <v>0.11764705882352941</v>
      </c>
      <c r="W9" s="1">
        <f t="shared" si="5"/>
        <v>8.8235294117647065E-2</v>
      </c>
      <c r="X9" s="3">
        <f t="shared" si="5"/>
        <v>0.11764705882352941</v>
      </c>
      <c r="Y9" s="1">
        <f t="shared" si="5"/>
        <v>5.8823529411764705E-2</v>
      </c>
      <c r="Z9" s="1">
        <f t="shared" si="5"/>
        <v>5.8823529411764705E-2</v>
      </c>
      <c r="AA9" s="1">
        <f t="shared" si="5"/>
        <v>0.14705882352941177</v>
      </c>
      <c r="AB9" s="1">
        <f t="shared" si="5"/>
        <v>8.8235294117647065E-2</v>
      </c>
      <c r="AC9" s="1">
        <f t="shared" si="5"/>
        <v>0.14705882352941177</v>
      </c>
      <c r="AD9" s="6">
        <f t="shared" si="5"/>
        <v>0.11764705882352941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>
        <f t="shared" si="6"/>
        <v>0.30769230769230771</v>
      </c>
      <c r="G10" s="1">
        <f t="shared" si="6"/>
        <v>0.30769230769230771</v>
      </c>
      <c r="H10" s="1">
        <f t="shared" si="6"/>
        <v>0.29629629629629628</v>
      </c>
      <c r="I10" s="1">
        <f t="shared" si="6"/>
        <v>0.25925925925925924</v>
      </c>
      <c r="J10" s="1">
        <f t="shared" si="6"/>
        <v>0.31428571428571428</v>
      </c>
      <c r="K10" s="1">
        <f t="shared" si="6"/>
        <v>0.29629629629629628</v>
      </c>
      <c r="L10" s="1">
        <f t="shared" si="6"/>
        <v>0.34782608695652173</v>
      </c>
      <c r="M10" s="1">
        <f t="shared" si="6"/>
        <v>0.30434782608695654</v>
      </c>
      <c r="N10" s="1">
        <f t="shared" si="6"/>
        <v>0.36</v>
      </c>
      <c r="O10" s="1">
        <f t="shared" si="6"/>
        <v>0.35</v>
      </c>
      <c r="P10" s="1">
        <f t="shared" si="6"/>
        <v>0.3125</v>
      </c>
      <c r="Q10" s="1">
        <f t="shared" si="6"/>
        <v>0.17647058823529413</v>
      </c>
      <c r="R10" s="1">
        <f t="shared" si="6"/>
        <v>0.2</v>
      </c>
      <c r="S10" s="1">
        <f t="shared" si="6"/>
        <v>0.42857142857142855</v>
      </c>
      <c r="T10" s="4">
        <f t="shared" si="6"/>
        <v>0.25</v>
      </c>
      <c r="U10" s="1">
        <f t="shared" si="6"/>
        <v>0.2857142857142857</v>
      </c>
      <c r="V10" s="1">
        <f t="shared" si="6"/>
        <v>0.2857142857142857</v>
      </c>
      <c r="W10" s="1">
        <f t="shared" si="6"/>
        <v>0.42857142857142855</v>
      </c>
      <c r="X10" s="3">
        <f t="shared" si="6"/>
        <v>0.30769230769230771</v>
      </c>
      <c r="Y10" s="1">
        <f t="shared" si="6"/>
        <v>0.33333333333333331</v>
      </c>
      <c r="Z10" s="1">
        <f t="shared" si="6"/>
        <v>0.16666666666666666</v>
      </c>
      <c r="AA10" s="1">
        <f t="shared" si="6"/>
        <v>0.33333333333333331</v>
      </c>
      <c r="AB10" s="1">
        <f t="shared" si="6"/>
        <v>0.33333333333333331</v>
      </c>
      <c r="AC10" s="1">
        <f t="shared" si="6"/>
        <v>0.55555555555555558</v>
      </c>
      <c r="AD10" s="6">
        <f t="shared" si="6"/>
        <v>0.5714285714285714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>
        <f t="shared" si="7"/>
        <v>0.26666666666666666</v>
      </c>
      <c r="G11" s="1">
        <f t="shared" si="7"/>
        <v>0.26666666666666666</v>
      </c>
      <c r="H11" s="1">
        <f t="shared" si="7"/>
        <v>0.26229508196721307</v>
      </c>
      <c r="I11" s="1">
        <f t="shared" si="7"/>
        <v>0.22222222222222221</v>
      </c>
      <c r="J11" s="1">
        <f t="shared" si="7"/>
        <v>0.31884057971014496</v>
      </c>
      <c r="K11" s="1">
        <f t="shared" si="7"/>
        <v>0.26229508196721307</v>
      </c>
      <c r="L11" s="1">
        <f t="shared" si="7"/>
        <v>0.28070175438596484</v>
      </c>
      <c r="M11" s="1">
        <f t="shared" si="7"/>
        <v>0.24561403508771931</v>
      </c>
      <c r="N11" s="1">
        <f t="shared" si="7"/>
        <v>0.30508474576271183</v>
      </c>
      <c r="O11" s="1">
        <f t="shared" si="7"/>
        <v>0.25925925925925924</v>
      </c>
      <c r="P11" s="1">
        <f t="shared" si="7"/>
        <v>0.2</v>
      </c>
      <c r="Q11" s="1">
        <f t="shared" si="7"/>
        <v>0.11764705882352942</v>
      </c>
      <c r="R11" s="1">
        <f t="shared" si="7"/>
        <v>0.12244897959183675</v>
      </c>
      <c r="S11" s="1">
        <f t="shared" si="7"/>
        <v>0.14634146341463417</v>
      </c>
      <c r="T11" s="4">
        <f t="shared" si="7"/>
        <v>0.15999999999999998</v>
      </c>
      <c r="U11" s="1">
        <f t="shared" si="7"/>
        <v>0.16666666666666666</v>
      </c>
      <c r="V11" s="1">
        <f t="shared" si="7"/>
        <v>0.16666666666666666</v>
      </c>
      <c r="W11" s="1">
        <f t="shared" si="7"/>
        <v>0.14634146341463417</v>
      </c>
      <c r="X11" s="3">
        <f t="shared" si="7"/>
        <v>0.1702127659574468</v>
      </c>
      <c r="Y11" s="1">
        <f t="shared" si="7"/>
        <v>0.1</v>
      </c>
      <c r="Z11" s="1">
        <f t="shared" si="7"/>
        <v>8.6956521739130446E-2</v>
      </c>
      <c r="AA11" s="1">
        <f t="shared" si="7"/>
        <v>0.20408163265306123</v>
      </c>
      <c r="AB11" s="1">
        <f t="shared" si="7"/>
        <v>0.13953488372093023</v>
      </c>
      <c r="AC11" s="1">
        <f t="shared" si="7"/>
        <v>0.23255813953488372</v>
      </c>
      <c r="AD11" s="6">
        <f t="shared" si="7"/>
        <v>0.1951219512195122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0.89156626506024095</v>
      </c>
      <c r="G12" s="1">
        <f t="shared" si="8"/>
        <v>0.89156626506024095</v>
      </c>
      <c r="H12" s="1">
        <f t="shared" si="8"/>
        <v>0.88554216867469882</v>
      </c>
      <c r="I12" s="1">
        <f t="shared" si="8"/>
        <v>0.87804878048780488</v>
      </c>
      <c r="J12" s="1">
        <f t="shared" si="8"/>
        <v>0.85542168674698793</v>
      </c>
      <c r="K12" s="1">
        <f t="shared" si="8"/>
        <v>0.88554216867469882</v>
      </c>
      <c r="L12" s="1">
        <f t="shared" si="8"/>
        <v>0.90963855421686746</v>
      </c>
      <c r="M12" s="1">
        <f t="shared" si="8"/>
        <v>0.90361445783132532</v>
      </c>
      <c r="N12" s="1">
        <f t="shared" si="8"/>
        <v>0.90361445783132532</v>
      </c>
      <c r="O12" s="1">
        <f t="shared" si="8"/>
        <v>0.92168674698795183</v>
      </c>
      <c r="P12" s="1">
        <f t="shared" si="8"/>
        <v>0.9337349397590361</v>
      </c>
      <c r="Q12" s="1">
        <f t="shared" si="8"/>
        <v>0.91566265060240959</v>
      </c>
      <c r="R12" s="1">
        <f t="shared" si="8"/>
        <v>0.92771084337349397</v>
      </c>
      <c r="S12" s="1">
        <f t="shared" si="8"/>
        <v>0.97590361445783136</v>
      </c>
      <c r="T12" s="4">
        <f t="shared" si="8"/>
        <v>0.92771084337349397</v>
      </c>
      <c r="U12" s="1">
        <f t="shared" si="8"/>
        <v>0.93975903614457834</v>
      </c>
      <c r="V12" s="1">
        <f t="shared" si="8"/>
        <v>0.93975903614457834</v>
      </c>
      <c r="W12" s="1">
        <f t="shared" si="8"/>
        <v>0.97590361445783136</v>
      </c>
      <c r="X12" s="3">
        <f t="shared" si="8"/>
        <v>0.94578313253012047</v>
      </c>
      <c r="Y12" s="1">
        <f t="shared" si="8"/>
        <v>0.97590361445783136</v>
      </c>
      <c r="Z12" s="1">
        <f t="shared" si="8"/>
        <v>0.93975903614457834</v>
      </c>
      <c r="AA12" s="1">
        <f t="shared" si="8"/>
        <v>0.93975903614457834</v>
      </c>
      <c r="AB12" s="1">
        <f t="shared" si="8"/>
        <v>0.96385542168674698</v>
      </c>
      <c r="AC12" s="1">
        <f t="shared" si="8"/>
        <v>0.97590361445783136</v>
      </c>
      <c r="AD12" s="6">
        <f t="shared" si="8"/>
        <v>0.98192771084337349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4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AD5" sqref="AD5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68</v>
      </c>
      <c r="C2" s="1">
        <v>68</v>
      </c>
      <c r="D2" s="1">
        <v>65</v>
      </c>
      <c r="E2" s="1">
        <v>65</v>
      </c>
      <c r="F2" s="1">
        <v>50</v>
      </c>
      <c r="G2" s="1">
        <v>48</v>
      </c>
      <c r="H2" s="1">
        <v>46</v>
      </c>
      <c r="I2" s="1">
        <v>49</v>
      </c>
      <c r="J2" s="1">
        <v>46</v>
      </c>
      <c r="K2" s="1">
        <v>50</v>
      </c>
      <c r="L2" s="1">
        <v>54</v>
      </c>
      <c r="M2" s="1">
        <v>54</v>
      </c>
      <c r="N2" s="1">
        <v>53</v>
      </c>
      <c r="O2" s="1">
        <v>56</v>
      </c>
      <c r="P2" s="1">
        <v>61</v>
      </c>
      <c r="Q2" s="4">
        <v>59</v>
      </c>
      <c r="R2" s="1">
        <v>60</v>
      </c>
      <c r="S2" s="1">
        <v>67</v>
      </c>
      <c r="T2" s="1">
        <v>60</v>
      </c>
      <c r="U2" s="1">
        <v>62</v>
      </c>
      <c r="V2" s="1">
        <v>63</v>
      </c>
      <c r="W2" s="1">
        <v>68</v>
      </c>
      <c r="X2" s="1">
        <v>63</v>
      </c>
      <c r="Y2" s="1">
        <v>68</v>
      </c>
      <c r="Z2" s="1">
        <v>63</v>
      </c>
      <c r="AA2" s="1">
        <v>63</v>
      </c>
      <c r="AB2" s="1">
        <v>68</v>
      </c>
      <c r="AC2" s="1">
        <v>69</v>
      </c>
      <c r="AD2" s="1">
        <v>70</v>
      </c>
    </row>
    <row r="3" spans="1:30" x14ac:dyDescent="0.25">
      <c r="A3" t="s">
        <v>18</v>
      </c>
      <c r="B3" s="1">
        <v>4</v>
      </c>
      <c r="C3" s="1">
        <v>4</v>
      </c>
      <c r="D3" s="1">
        <v>7</v>
      </c>
      <c r="E3" s="1">
        <v>7</v>
      </c>
      <c r="F3" s="1">
        <v>22</v>
      </c>
      <c r="G3" s="1">
        <v>24</v>
      </c>
      <c r="H3" s="1">
        <v>26</v>
      </c>
      <c r="I3" s="1">
        <v>23</v>
      </c>
      <c r="J3" s="1">
        <v>26</v>
      </c>
      <c r="K3" s="1">
        <v>22</v>
      </c>
      <c r="L3" s="1">
        <v>18</v>
      </c>
      <c r="M3" s="1">
        <v>18</v>
      </c>
      <c r="N3" s="1">
        <v>19</v>
      </c>
      <c r="O3" s="1">
        <v>16</v>
      </c>
      <c r="P3" s="1">
        <v>11</v>
      </c>
      <c r="Q3" s="4">
        <v>13</v>
      </c>
      <c r="R3" s="1">
        <v>12</v>
      </c>
      <c r="S3" s="1">
        <v>5</v>
      </c>
      <c r="T3" s="1">
        <v>12</v>
      </c>
      <c r="U3" s="1">
        <v>10</v>
      </c>
      <c r="V3" s="1">
        <v>8</v>
      </c>
      <c r="W3" s="1">
        <v>4</v>
      </c>
      <c r="X3" s="1">
        <v>9</v>
      </c>
      <c r="Y3" s="1">
        <v>4</v>
      </c>
      <c r="Z3" s="1">
        <v>9</v>
      </c>
      <c r="AA3" s="1">
        <v>9</v>
      </c>
      <c r="AB3" s="1">
        <v>4</v>
      </c>
      <c r="AC3" s="1">
        <v>3</v>
      </c>
      <c r="AD3" s="1">
        <v>2</v>
      </c>
    </row>
    <row r="4" spans="1:30" x14ac:dyDescent="0.25">
      <c r="A4" t="s">
        <v>19</v>
      </c>
      <c r="B4" s="1">
        <v>33</v>
      </c>
      <c r="C4" s="1">
        <v>34</v>
      </c>
      <c r="D4" s="1">
        <v>30</v>
      </c>
      <c r="E4" s="1">
        <v>29</v>
      </c>
      <c r="F4" s="1">
        <v>17</v>
      </c>
      <c r="G4" s="1">
        <v>15</v>
      </c>
      <c r="H4" s="1">
        <v>14</v>
      </c>
      <c r="I4" s="1">
        <v>16</v>
      </c>
      <c r="J4" s="1">
        <v>10</v>
      </c>
      <c r="K4" s="1">
        <v>14</v>
      </c>
      <c r="L4" s="1">
        <v>18</v>
      </c>
      <c r="M4" s="1">
        <v>17</v>
      </c>
      <c r="N4" s="1">
        <v>18</v>
      </c>
      <c r="O4" s="1">
        <v>23</v>
      </c>
      <c r="P4" s="1">
        <v>22</v>
      </c>
      <c r="Q4" s="4">
        <v>24</v>
      </c>
      <c r="R4" s="1">
        <v>22</v>
      </c>
      <c r="S4" s="1">
        <v>24</v>
      </c>
      <c r="T4" s="1">
        <v>23</v>
      </c>
      <c r="U4" s="1">
        <v>23</v>
      </c>
      <c r="V4" s="1">
        <v>24</v>
      </c>
      <c r="W4" s="1">
        <v>25</v>
      </c>
      <c r="X4" s="1">
        <v>25</v>
      </c>
      <c r="Y4" s="1">
        <v>27</v>
      </c>
      <c r="Z4" s="1">
        <v>26</v>
      </c>
      <c r="AA4" s="1">
        <v>23</v>
      </c>
      <c r="AB4" s="1">
        <v>26</v>
      </c>
      <c r="AC4" s="1">
        <v>24</v>
      </c>
      <c r="AD4" s="1">
        <v>26</v>
      </c>
    </row>
    <row r="5" spans="1:30" x14ac:dyDescent="0.25">
      <c r="A5" t="s">
        <v>12</v>
      </c>
      <c r="B5" s="1">
        <f t="shared" ref="B5:H5" si="0">200-B2-B3-B4</f>
        <v>95</v>
      </c>
      <c r="C5" s="1">
        <f>200-C2-C3-C4</f>
        <v>94</v>
      </c>
      <c r="D5" s="1">
        <f t="shared" si="0"/>
        <v>98</v>
      </c>
      <c r="E5" s="1">
        <f t="shared" si="0"/>
        <v>99</v>
      </c>
      <c r="F5" s="1">
        <f t="shared" si="0"/>
        <v>111</v>
      </c>
      <c r="G5" s="1">
        <f t="shared" si="0"/>
        <v>113</v>
      </c>
      <c r="H5" s="1">
        <f t="shared" si="0"/>
        <v>114</v>
      </c>
      <c r="I5" s="1">
        <f t="shared" ref="I5:AD5" si="1">200-I2-I3-I4</f>
        <v>112</v>
      </c>
      <c r="J5" s="1">
        <f t="shared" si="1"/>
        <v>118</v>
      </c>
      <c r="K5" s="1">
        <f t="shared" si="1"/>
        <v>114</v>
      </c>
      <c r="L5" s="1">
        <f t="shared" si="1"/>
        <v>110</v>
      </c>
      <c r="M5" s="1">
        <f t="shared" si="1"/>
        <v>111</v>
      </c>
      <c r="N5" s="1">
        <f t="shared" si="1"/>
        <v>110</v>
      </c>
      <c r="O5" s="1">
        <f t="shared" si="1"/>
        <v>105</v>
      </c>
      <c r="P5" s="1">
        <f t="shared" si="1"/>
        <v>106</v>
      </c>
      <c r="Q5" s="4">
        <f t="shared" si="1"/>
        <v>104</v>
      </c>
      <c r="R5" s="4">
        <f t="shared" si="1"/>
        <v>106</v>
      </c>
      <c r="S5" s="1">
        <f t="shared" si="1"/>
        <v>104</v>
      </c>
      <c r="T5" s="1">
        <f>200-T2-T3-T4</f>
        <v>105</v>
      </c>
      <c r="U5" s="1">
        <f t="shared" si="1"/>
        <v>105</v>
      </c>
      <c r="V5" s="1">
        <f t="shared" si="1"/>
        <v>105</v>
      </c>
      <c r="W5" s="1">
        <f t="shared" si="1"/>
        <v>103</v>
      </c>
      <c r="X5" s="1">
        <f t="shared" si="1"/>
        <v>103</v>
      </c>
      <c r="Y5" s="1">
        <f t="shared" si="1"/>
        <v>101</v>
      </c>
      <c r="Z5" s="1">
        <f t="shared" si="1"/>
        <v>102</v>
      </c>
      <c r="AA5" s="1">
        <f>200-AA2-AA3-AA4</f>
        <v>105</v>
      </c>
      <c r="AB5" s="1">
        <f t="shared" si="1"/>
        <v>102</v>
      </c>
      <c r="AC5" s="1">
        <f t="shared" si="1"/>
        <v>104</v>
      </c>
      <c r="AD5" s="1">
        <f t="shared" si="1"/>
        <v>102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0.81499999999999995</v>
      </c>
      <c r="C7" s="1">
        <f t="shared" ref="C7:AD7" si="3">(C5+C2)/C6</f>
        <v>0.81</v>
      </c>
      <c r="D7" s="1">
        <f t="shared" si="3"/>
        <v>0.81499999999999995</v>
      </c>
      <c r="E7" s="1">
        <f t="shared" si="3"/>
        <v>0.82</v>
      </c>
      <c r="F7" s="1">
        <f t="shared" si="3"/>
        <v>0.80500000000000005</v>
      </c>
      <c r="G7" s="1">
        <f t="shared" si="3"/>
        <v>0.80500000000000005</v>
      </c>
      <c r="H7" s="1">
        <f t="shared" si="3"/>
        <v>0.8</v>
      </c>
      <c r="I7" s="1">
        <f t="shared" si="3"/>
        <v>0.80500000000000005</v>
      </c>
      <c r="J7" s="1">
        <f t="shared" si="3"/>
        <v>0.82</v>
      </c>
      <c r="K7" s="1">
        <f t="shared" si="3"/>
        <v>0.82</v>
      </c>
      <c r="L7" s="1">
        <f t="shared" si="3"/>
        <v>0.82</v>
      </c>
      <c r="M7" s="5">
        <f t="shared" si="3"/>
        <v>0.82499999999999996</v>
      </c>
      <c r="N7" s="1">
        <f t="shared" si="3"/>
        <v>0.81499999999999995</v>
      </c>
      <c r="O7" s="7">
        <f t="shared" si="3"/>
        <v>0.80500000000000005</v>
      </c>
      <c r="P7" s="1">
        <f t="shared" si="3"/>
        <v>0.83499999999999996</v>
      </c>
      <c r="Q7" s="4">
        <f t="shared" si="3"/>
        <v>0.81499999999999995</v>
      </c>
      <c r="R7" s="1">
        <f t="shared" si="3"/>
        <v>0.83</v>
      </c>
      <c r="S7" s="1">
        <f t="shared" si="3"/>
        <v>0.85499999999999998</v>
      </c>
      <c r="T7" s="1">
        <f t="shared" si="3"/>
        <v>0.82499999999999996</v>
      </c>
      <c r="U7" s="1">
        <f t="shared" si="3"/>
        <v>0.83499999999999996</v>
      </c>
      <c r="V7" s="1">
        <f t="shared" si="3"/>
        <v>0.84</v>
      </c>
      <c r="W7" s="1">
        <f t="shared" si="3"/>
        <v>0.85499999999999998</v>
      </c>
      <c r="X7" s="1">
        <f t="shared" si="3"/>
        <v>0.83</v>
      </c>
      <c r="Y7" s="1">
        <f t="shared" si="3"/>
        <v>0.84499999999999997</v>
      </c>
      <c r="Z7" s="1">
        <f t="shared" si="3"/>
        <v>0.82499999999999996</v>
      </c>
      <c r="AA7" s="1">
        <f t="shared" si="3"/>
        <v>0.84</v>
      </c>
      <c r="AB7" s="1">
        <f t="shared" si="3"/>
        <v>0.85</v>
      </c>
      <c r="AC7" s="1">
        <f t="shared" si="3"/>
        <v>0.86499999999999999</v>
      </c>
      <c r="AD7" s="6">
        <f t="shared" si="3"/>
        <v>0.86</v>
      </c>
    </row>
    <row r="8" spans="1:30" x14ac:dyDescent="0.25">
      <c r="A8" t="s">
        <v>1</v>
      </c>
      <c r="B8" s="1">
        <f>1-B7</f>
        <v>0.18500000000000005</v>
      </c>
      <c r="C8" s="1">
        <f t="shared" ref="C8:AD8" si="4">1-C7</f>
        <v>0.18999999999999995</v>
      </c>
      <c r="D8" s="1">
        <f t="shared" si="4"/>
        <v>0.18500000000000005</v>
      </c>
      <c r="E8" s="1">
        <f t="shared" si="4"/>
        <v>0.18000000000000005</v>
      </c>
      <c r="F8" s="1">
        <f t="shared" si="4"/>
        <v>0.19499999999999995</v>
      </c>
      <c r="G8" s="1">
        <f t="shared" si="4"/>
        <v>0.19499999999999995</v>
      </c>
      <c r="H8" s="1">
        <f t="shared" si="4"/>
        <v>0.19999999999999996</v>
      </c>
      <c r="I8" s="1">
        <f t="shared" si="4"/>
        <v>0.19499999999999995</v>
      </c>
      <c r="J8" s="1">
        <f t="shared" si="4"/>
        <v>0.18000000000000005</v>
      </c>
      <c r="K8" s="1">
        <f t="shared" si="4"/>
        <v>0.18000000000000005</v>
      </c>
      <c r="L8" s="1">
        <f t="shared" si="4"/>
        <v>0.18000000000000005</v>
      </c>
      <c r="M8" s="5">
        <f t="shared" si="4"/>
        <v>0.17500000000000004</v>
      </c>
      <c r="N8" s="1">
        <f t="shared" si="4"/>
        <v>0.18500000000000005</v>
      </c>
      <c r="O8" s="7">
        <f t="shared" si="4"/>
        <v>0.19499999999999995</v>
      </c>
      <c r="P8" s="1">
        <f t="shared" si="4"/>
        <v>0.16500000000000004</v>
      </c>
      <c r="Q8" s="4">
        <f t="shared" si="4"/>
        <v>0.18500000000000005</v>
      </c>
      <c r="R8" s="1">
        <f t="shared" si="4"/>
        <v>0.17000000000000004</v>
      </c>
      <c r="S8" s="1">
        <f t="shared" si="4"/>
        <v>0.14500000000000002</v>
      </c>
      <c r="T8" s="1">
        <f t="shared" si="4"/>
        <v>0.17500000000000004</v>
      </c>
      <c r="U8" s="1">
        <f t="shared" si="4"/>
        <v>0.16500000000000004</v>
      </c>
      <c r="V8" s="1">
        <f t="shared" si="4"/>
        <v>0.16000000000000003</v>
      </c>
      <c r="W8" s="1">
        <f t="shared" si="4"/>
        <v>0.14500000000000002</v>
      </c>
      <c r="X8" s="1">
        <f t="shared" si="4"/>
        <v>0.17000000000000004</v>
      </c>
      <c r="Y8" s="1">
        <f t="shared" si="4"/>
        <v>0.15500000000000003</v>
      </c>
      <c r="Z8" s="1">
        <f t="shared" si="4"/>
        <v>0.17500000000000004</v>
      </c>
      <c r="AA8" s="1">
        <f t="shared" si="4"/>
        <v>0.16000000000000003</v>
      </c>
      <c r="AB8" s="1">
        <f t="shared" si="4"/>
        <v>0.15000000000000002</v>
      </c>
      <c r="AC8" s="1">
        <f t="shared" si="4"/>
        <v>0.13500000000000001</v>
      </c>
      <c r="AD8" s="6">
        <f t="shared" si="4"/>
        <v>0.14000000000000001</v>
      </c>
    </row>
    <row r="9" spans="1:30" x14ac:dyDescent="0.25">
      <c r="A9" t="s">
        <v>24</v>
      </c>
      <c r="B9" s="1">
        <f>B2/(B2+B3)</f>
        <v>0.94444444444444442</v>
      </c>
      <c r="C9" s="1">
        <f t="shared" ref="C9:AD9" si="5">C2/(C2+C3)</f>
        <v>0.94444444444444442</v>
      </c>
      <c r="D9" s="1">
        <f t="shared" si="5"/>
        <v>0.90277777777777779</v>
      </c>
      <c r="E9" s="1">
        <f t="shared" si="5"/>
        <v>0.90277777777777779</v>
      </c>
      <c r="F9" s="1">
        <f t="shared" si="5"/>
        <v>0.69444444444444442</v>
      </c>
      <c r="G9" s="1">
        <f t="shared" si="5"/>
        <v>0.66666666666666663</v>
      </c>
      <c r="H9" s="1">
        <f t="shared" si="5"/>
        <v>0.63888888888888884</v>
      </c>
      <c r="I9" s="1">
        <f t="shared" si="5"/>
        <v>0.68055555555555558</v>
      </c>
      <c r="J9" s="1">
        <f t="shared" si="5"/>
        <v>0.63888888888888884</v>
      </c>
      <c r="K9" s="1">
        <f t="shared" si="5"/>
        <v>0.69444444444444442</v>
      </c>
      <c r="L9" s="1">
        <f t="shared" si="5"/>
        <v>0.75</v>
      </c>
      <c r="M9" s="5">
        <f t="shared" si="5"/>
        <v>0.75</v>
      </c>
      <c r="N9" s="1">
        <f t="shared" si="5"/>
        <v>0.73611111111111116</v>
      </c>
      <c r="O9" s="7">
        <f t="shared" si="5"/>
        <v>0.77777777777777779</v>
      </c>
      <c r="P9" s="1">
        <f t="shared" si="5"/>
        <v>0.84722222222222221</v>
      </c>
      <c r="Q9" s="4">
        <f t="shared" si="5"/>
        <v>0.81944444444444442</v>
      </c>
      <c r="R9" s="1">
        <f t="shared" si="5"/>
        <v>0.83333333333333337</v>
      </c>
      <c r="S9" s="1">
        <f t="shared" si="5"/>
        <v>0.93055555555555558</v>
      </c>
      <c r="T9" s="1">
        <f t="shared" si="5"/>
        <v>0.83333333333333337</v>
      </c>
      <c r="U9" s="1">
        <f t="shared" si="5"/>
        <v>0.86111111111111116</v>
      </c>
      <c r="V9" s="1">
        <f t="shared" si="5"/>
        <v>0.88732394366197187</v>
      </c>
      <c r="W9" s="1">
        <f t="shared" si="5"/>
        <v>0.94444444444444442</v>
      </c>
      <c r="X9" s="1">
        <f t="shared" si="5"/>
        <v>0.875</v>
      </c>
      <c r="Y9" s="1">
        <f t="shared" si="5"/>
        <v>0.94444444444444442</v>
      </c>
      <c r="Z9" s="1">
        <f t="shared" si="5"/>
        <v>0.875</v>
      </c>
      <c r="AA9" s="1">
        <f t="shared" si="5"/>
        <v>0.875</v>
      </c>
      <c r="AB9" s="1">
        <f t="shared" si="5"/>
        <v>0.94444444444444442</v>
      </c>
      <c r="AC9" s="1">
        <f t="shared" si="5"/>
        <v>0.95833333333333337</v>
      </c>
      <c r="AD9" s="6">
        <f t="shared" si="5"/>
        <v>0.97222222222222221</v>
      </c>
    </row>
    <row r="10" spans="1:30" x14ac:dyDescent="0.25">
      <c r="A10" t="s">
        <v>23</v>
      </c>
      <c r="B10" s="1">
        <f>B2/(B2+B4)</f>
        <v>0.67326732673267331</v>
      </c>
      <c r="C10" s="1">
        <f t="shared" ref="C10:AD10" si="6">C2/(C2+C4)</f>
        <v>0.66666666666666663</v>
      </c>
      <c r="D10" s="1">
        <f t="shared" si="6"/>
        <v>0.68421052631578949</v>
      </c>
      <c r="E10" s="1">
        <f t="shared" si="6"/>
        <v>0.69148936170212771</v>
      </c>
      <c r="F10" s="1">
        <f t="shared" si="6"/>
        <v>0.74626865671641796</v>
      </c>
      <c r="G10" s="1">
        <f t="shared" si="6"/>
        <v>0.76190476190476186</v>
      </c>
      <c r="H10" s="1">
        <f t="shared" si="6"/>
        <v>0.76666666666666672</v>
      </c>
      <c r="I10" s="1">
        <f t="shared" si="6"/>
        <v>0.75384615384615383</v>
      </c>
      <c r="J10" s="1">
        <f t="shared" si="6"/>
        <v>0.8214285714285714</v>
      </c>
      <c r="K10" s="1">
        <f t="shared" si="6"/>
        <v>0.78125</v>
      </c>
      <c r="L10" s="1">
        <f t="shared" si="6"/>
        <v>0.75</v>
      </c>
      <c r="M10" s="5">
        <f t="shared" si="6"/>
        <v>0.76056338028169013</v>
      </c>
      <c r="N10" s="1">
        <f t="shared" si="6"/>
        <v>0.74647887323943662</v>
      </c>
      <c r="O10" s="7">
        <f t="shared" si="6"/>
        <v>0.70886075949367089</v>
      </c>
      <c r="P10" s="1">
        <f t="shared" si="6"/>
        <v>0.73493975903614461</v>
      </c>
      <c r="Q10" s="4">
        <f t="shared" si="6"/>
        <v>0.71084337349397586</v>
      </c>
      <c r="R10" s="1">
        <f t="shared" si="6"/>
        <v>0.73170731707317072</v>
      </c>
      <c r="S10" s="1">
        <f t="shared" si="6"/>
        <v>0.73626373626373631</v>
      </c>
      <c r="T10" s="1">
        <f t="shared" si="6"/>
        <v>0.72289156626506024</v>
      </c>
      <c r="U10" s="1">
        <f t="shared" si="6"/>
        <v>0.72941176470588232</v>
      </c>
      <c r="V10" s="1">
        <f t="shared" si="6"/>
        <v>0.72413793103448276</v>
      </c>
      <c r="W10" s="1">
        <f t="shared" si="6"/>
        <v>0.73118279569892475</v>
      </c>
      <c r="X10" s="1">
        <f t="shared" si="6"/>
        <v>0.71590909090909094</v>
      </c>
      <c r="Y10" s="1">
        <f t="shared" si="6"/>
        <v>0.71578947368421053</v>
      </c>
      <c r="Z10" s="1">
        <f t="shared" si="6"/>
        <v>0.7078651685393258</v>
      </c>
      <c r="AA10" s="1">
        <f t="shared" si="6"/>
        <v>0.73255813953488369</v>
      </c>
      <c r="AB10" s="1">
        <f t="shared" si="6"/>
        <v>0.72340425531914898</v>
      </c>
      <c r="AC10" s="1">
        <f t="shared" si="6"/>
        <v>0.74193548387096775</v>
      </c>
      <c r="AD10" s="6">
        <f t="shared" si="6"/>
        <v>0.72916666666666663</v>
      </c>
    </row>
    <row r="11" spans="1:30" x14ac:dyDescent="0.25">
      <c r="A11" t="s">
        <v>13</v>
      </c>
      <c r="B11" s="1">
        <f>2*B9*B10/(B9+B10)</f>
        <v>0.78612716763005797</v>
      </c>
      <c r="C11" s="1">
        <f t="shared" ref="C11:AD11" si="7">2*C9*C10/(C9+C10)</f>
        <v>0.78160919540229867</v>
      </c>
      <c r="D11" s="1">
        <f t="shared" si="7"/>
        <v>0.77844311377245512</v>
      </c>
      <c r="E11" s="1">
        <f t="shared" si="7"/>
        <v>0.78313253012048201</v>
      </c>
      <c r="F11" s="1">
        <f t="shared" si="7"/>
        <v>0.71942446043165464</v>
      </c>
      <c r="G11" s="1">
        <f t="shared" si="7"/>
        <v>0.71111111111111114</v>
      </c>
      <c r="H11" s="1">
        <f t="shared" si="7"/>
        <v>0.69696969696969702</v>
      </c>
      <c r="I11" s="1">
        <f t="shared" si="7"/>
        <v>0.7153284671532848</v>
      </c>
      <c r="J11" s="1">
        <f t="shared" si="7"/>
        <v>0.71874999999999989</v>
      </c>
      <c r="K11" s="1">
        <f t="shared" si="7"/>
        <v>0.73529411764705876</v>
      </c>
      <c r="L11" s="1">
        <f t="shared" si="7"/>
        <v>0.75</v>
      </c>
      <c r="M11" s="5">
        <f t="shared" si="7"/>
        <v>0.75524475524475532</v>
      </c>
      <c r="N11" s="1">
        <f t="shared" si="7"/>
        <v>0.74125874125874136</v>
      </c>
      <c r="O11" s="7">
        <f t="shared" si="7"/>
        <v>0.74172185430463566</v>
      </c>
      <c r="P11" s="1">
        <f t="shared" si="7"/>
        <v>0.7870967741935484</v>
      </c>
      <c r="Q11" s="4">
        <f t="shared" si="7"/>
        <v>0.76129032258064511</v>
      </c>
      <c r="R11" s="1">
        <f t="shared" si="7"/>
        <v>0.77922077922077926</v>
      </c>
      <c r="S11" s="1">
        <f t="shared" si="7"/>
        <v>0.82208588957055218</v>
      </c>
      <c r="T11" s="1">
        <f t="shared" si="7"/>
        <v>0.77419354838709686</v>
      </c>
      <c r="U11" s="1">
        <f t="shared" si="7"/>
        <v>0.78980891719745216</v>
      </c>
      <c r="V11" s="1">
        <f t="shared" si="7"/>
        <v>0.79746835443037967</v>
      </c>
      <c r="W11" s="1">
        <f t="shared" si="7"/>
        <v>0.82424242424242433</v>
      </c>
      <c r="X11" s="1">
        <f t="shared" si="7"/>
        <v>0.78750000000000009</v>
      </c>
      <c r="Y11" s="1">
        <f t="shared" si="7"/>
        <v>0.81437125748503003</v>
      </c>
      <c r="Z11" s="1">
        <f t="shared" si="7"/>
        <v>0.78260869565217395</v>
      </c>
      <c r="AA11" s="1">
        <f t="shared" si="7"/>
        <v>0.79746835443037967</v>
      </c>
      <c r="AB11" s="1">
        <f t="shared" si="7"/>
        <v>0.81927710843373491</v>
      </c>
      <c r="AC11" s="1">
        <f t="shared" si="7"/>
        <v>0.83636363636363642</v>
      </c>
      <c r="AD11" s="6">
        <f t="shared" si="7"/>
        <v>0.83333333333333326</v>
      </c>
    </row>
    <row r="12" spans="1:30" x14ac:dyDescent="0.25">
      <c r="A12" t="s">
        <v>14</v>
      </c>
      <c r="B12" s="1">
        <f>B5/(B4+B5)</f>
        <v>0.7421875</v>
      </c>
      <c r="C12" s="1">
        <f t="shared" ref="C12:AD12" si="8">C5/(C4+C5)</f>
        <v>0.734375</v>
      </c>
      <c r="D12" s="1">
        <f t="shared" si="8"/>
        <v>0.765625</v>
      </c>
      <c r="E12" s="1">
        <f t="shared" si="8"/>
        <v>0.7734375</v>
      </c>
      <c r="F12" s="1">
        <f t="shared" si="8"/>
        <v>0.8671875</v>
      </c>
      <c r="G12" s="1">
        <f t="shared" si="8"/>
        <v>0.8828125</v>
      </c>
      <c r="H12" s="1">
        <f t="shared" si="8"/>
        <v>0.890625</v>
      </c>
      <c r="I12" s="1">
        <f t="shared" si="8"/>
        <v>0.875</v>
      </c>
      <c r="J12" s="1">
        <f t="shared" si="8"/>
        <v>0.921875</v>
      </c>
      <c r="K12" s="1">
        <f t="shared" si="8"/>
        <v>0.890625</v>
      </c>
      <c r="L12" s="1">
        <f t="shared" si="8"/>
        <v>0.859375</v>
      </c>
      <c r="M12" s="5">
        <f t="shared" si="8"/>
        <v>0.8671875</v>
      </c>
      <c r="N12" s="1">
        <f t="shared" si="8"/>
        <v>0.859375</v>
      </c>
      <c r="O12" s="7">
        <f t="shared" si="8"/>
        <v>0.8203125</v>
      </c>
      <c r="P12" s="1">
        <f t="shared" si="8"/>
        <v>0.828125</v>
      </c>
      <c r="Q12" s="4">
        <f t="shared" si="8"/>
        <v>0.8125</v>
      </c>
      <c r="R12" s="1">
        <f t="shared" si="8"/>
        <v>0.828125</v>
      </c>
      <c r="S12" s="1">
        <f t="shared" si="8"/>
        <v>0.8125</v>
      </c>
      <c r="T12" s="1">
        <f t="shared" si="8"/>
        <v>0.8203125</v>
      </c>
      <c r="U12" s="1">
        <f t="shared" si="8"/>
        <v>0.8203125</v>
      </c>
      <c r="V12" s="1">
        <f t="shared" si="8"/>
        <v>0.81395348837209303</v>
      </c>
      <c r="W12" s="1">
        <f t="shared" si="8"/>
        <v>0.8046875</v>
      </c>
      <c r="X12" s="1">
        <f t="shared" si="8"/>
        <v>0.8046875</v>
      </c>
      <c r="Y12" s="1">
        <f t="shared" si="8"/>
        <v>0.7890625</v>
      </c>
      <c r="Z12" s="1">
        <f t="shared" si="8"/>
        <v>0.796875</v>
      </c>
      <c r="AA12" s="1">
        <f t="shared" si="8"/>
        <v>0.8203125</v>
      </c>
      <c r="AB12" s="1">
        <f t="shared" si="8"/>
        <v>0.796875</v>
      </c>
      <c r="AC12" s="1">
        <f t="shared" si="8"/>
        <v>0.8125</v>
      </c>
      <c r="AD12" s="6">
        <f t="shared" si="8"/>
        <v>0.796875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5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Emo-Pass_knn</vt:lpstr>
      <vt:lpstr>Emo-Fail_knn</vt:lpstr>
      <vt:lpstr>Emo-Dropout_knn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2024-07-31T07:01:32Z</dcterms:modified>
</cp:coreProperties>
</file>