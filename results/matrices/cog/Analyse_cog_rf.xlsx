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cog\"/>
    </mc:Choice>
  </mc:AlternateContent>
  <xr:revisionPtr revIDLastSave="0" documentId="13_ncr:1_{F0C1C4ED-35F4-4BB4-B587-DDBA7FAC0B23}" xr6:coauthVersionLast="47" xr6:coauthVersionMax="47" xr10:uidLastSave="{00000000-0000-0000-0000-000000000000}"/>
  <bookViews>
    <workbookView xWindow="-120" yWindow="-120" windowWidth="29040" windowHeight="17640" xr2:uid="{26EEB946-AE10-4C80-93AD-87C66CBD13A1}"/>
  </bookViews>
  <sheets>
    <sheet name="Cog-Pass_rf" sheetId="1" r:id="rId1"/>
    <sheet name="Cog-Dropout_rf" sheetId="4" r:id="rId2"/>
    <sheet name="Cog-Fail_rf" sheetId="5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5" i="4"/>
  <c r="C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C5" i="1"/>
  <c r="C12" i="1" s="1"/>
  <c r="D5" i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D11" i="5" s="1"/>
  <c r="AC10" i="5"/>
  <c r="AC11" i="5" s="1"/>
  <c r="AB10" i="5"/>
  <c r="AA10" i="5"/>
  <c r="Z10" i="5"/>
  <c r="Z11" i="5" s="1"/>
  <c r="Y10" i="5"/>
  <c r="X10" i="5"/>
  <c r="W10" i="5"/>
  <c r="V10" i="5"/>
  <c r="V11" i="5" s="1"/>
  <c r="U10" i="5"/>
  <c r="T10" i="5"/>
  <c r="S10" i="5"/>
  <c r="R10" i="5"/>
  <c r="Q10" i="5"/>
  <c r="P10" i="5"/>
  <c r="O10" i="5"/>
  <c r="N10" i="5"/>
  <c r="M10" i="5"/>
  <c r="M11" i="5" s="1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Y6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I12" i="4"/>
  <c r="F12" i="4"/>
  <c r="B12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I11" i="4" s="1"/>
  <c r="H9" i="4"/>
  <c r="G9" i="4"/>
  <c r="F9" i="4"/>
  <c r="E9" i="4"/>
  <c r="D9" i="4"/>
  <c r="C9" i="4"/>
  <c r="B9" i="4"/>
  <c r="Y6" i="4"/>
  <c r="Y7" i="4" s="1"/>
  <c r="Y8" i="4" s="1"/>
  <c r="W6" i="4"/>
  <c r="I6" i="4"/>
  <c r="I7" i="4" s="1"/>
  <c r="I8" i="4" s="1"/>
  <c r="D6" i="4"/>
  <c r="D7" i="4" s="1"/>
  <c r="D8" i="4" s="1"/>
  <c r="C6" i="4"/>
  <c r="C7" i="4" s="1"/>
  <c r="C8" i="4" s="1"/>
  <c r="B6" i="4"/>
  <c r="B7" i="4" s="1"/>
  <c r="B8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R5" i="4"/>
  <c r="R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D12" i="1"/>
  <c r="E12" i="1"/>
  <c r="H12" i="1"/>
  <c r="M12" i="1"/>
  <c r="N12" i="1"/>
  <c r="S12" i="1"/>
  <c r="T12" i="1"/>
  <c r="U12" i="1"/>
  <c r="V12" i="1"/>
  <c r="W12" i="1"/>
  <c r="Y12" i="1"/>
  <c r="AD12" i="1"/>
  <c r="K11" i="1"/>
  <c r="L11" i="1"/>
  <c r="M11" i="1"/>
  <c r="N11" i="1"/>
  <c r="R11" i="1"/>
  <c r="T11" i="1"/>
  <c r="U11" i="1"/>
  <c r="V11" i="1"/>
  <c r="W11" i="1"/>
  <c r="X11" i="1"/>
  <c r="Y11" i="1"/>
  <c r="AA11" i="1"/>
  <c r="AC11" i="1"/>
  <c r="AD11" i="1"/>
  <c r="C10" i="1"/>
  <c r="D10" i="1"/>
  <c r="E10" i="1"/>
  <c r="F10" i="1"/>
  <c r="G10" i="1"/>
  <c r="H10" i="1"/>
  <c r="H11" i="1" s="1"/>
  <c r="I10" i="1"/>
  <c r="J10" i="1"/>
  <c r="K10" i="1"/>
  <c r="L10" i="1"/>
  <c r="M10" i="1"/>
  <c r="N10" i="1"/>
  <c r="O10" i="1"/>
  <c r="P10" i="1"/>
  <c r="Q10" i="1"/>
  <c r="Q11" i="1" s="1"/>
  <c r="R10" i="1"/>
  <c r="S10" i="1"/>
  <c r="S11" i="1" s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J11" i="1" s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U8" i="1"/>
  <c r="W8" i="1"/>
  <c r="Y8" i="1"/>
  <c r="AD8" i="1"/>
  <c r="K7" i="1"/>
  <c r="K8" i="1" s="1"/>
  <c r="L7" i="1"/>
  <c r="L8" i="1" s="1"/>
  <c r="U7" i="1"/>
  <c r="V7" i="1"/>
  <c r="V8" i="1" s="1"/>
  <c r="W7" i="1"/>
  <c r="Y7" i="1"/>
  <c r="Z7" i="1"/>
  <c r="Z8" i="1" s="1"/>
  <c r="AD7" i="1"/>
  <c r="B12" i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Z5" i="1"/>
  <c r="Z6" i="1" s="1"/>
  <c r="AB5" i="1"/>
  <c r="AB12" i="1" s="1"/>
  <c r="AC5" i="1"/>
  <c r="AC6" i="1" s="1"/>
  <c r="AD5" i="1"/>
  <c r="AD6" i="1" s="1"/>
  <c r="H5" i="1"/>
  <c r="Y6" i="1"/>
  <c r="B6" i="1"/>
  <c r="B7" i="1" s="1"/>
  <c r="B8" i="1" s="1"/>
  <c r="C6" i="1"/>
  <c r="C7" i="1" s="1"/>
  <c r="C8" i="1" s="1"/>
  <c r="D6" i="1"/>
  <c r="D7" i="1" s="1"/>
  <c r="D8" i="1" s="1"/>
  <c r="H6" i="1"/>
  <c r="O6" i="1"/>
  <c r="O7" i="1" s="1"/>
  <c r="O8" i="1" s="1"/>
  <c r="AA11" i="5" l="1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H7" i="1"/>
  <c r="H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  <c r="W7" i="4"/>
  <c r="W8" i="4" s="1"/>
</calcChain>
</file>

<file path=xl/sharedStrings.xml><?xml version="1.0" encoding="utf-8"?>
<sst xmlns="http://schemas.openxmlformats.org/spreadsheetml/2006/main" count="6042" uniqueCount="25">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</sst>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'Cog-Pass_rf'!$A$7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'Cog-Pass_rf'!$B$7:$AD$7</c:f>
              <c:numCache>
                <c:formatCode>General</c:formatCode>
                <c:ptCount val="29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0.90500000000000003</c:v>
                </c:pt>
                <c:pt idx="7">
                  <c:v>0.89500000000000002</c:v>
                </c:pt>
                <c:pt idx="8">
                  <c:v>0.91500000000000004</c:v>
                </c:pt>
                <c:pt idx="9">
                  <c:v>0.90500000000000003</c:v>
                </c:pt>
                <c:pt idx="10">
                  <c:v>0.91</c:v>
                </c:pt>
                <c:pt idx="11">
                  <c:v>0.91</c:v>
                </c:pt>
                <c:pt idx="12">
                  <c:v>0.92</c:v>
                </c:pt>
                <c:pt idx="13">
                  <c:v>0.92</c:v>
                </c:pt>
                <c:pt idx="14">
                  <c:v>0.92</c:v>
                </c:pt>
                <c:pt idx="15">
                  <c:v>0.91500000000000004</c:v>
                </c:pt>
                <c:pt idx="16">
                  <c:v>0.92</c:v>
                </c:pt>
                <c:pt idx="17">
                  <c:v>0.92</c:v>
                </c:pt>
                <c:pt idx="18">
                  <c:v>0.92500000000000004</c:v>
                </c:pt>
                <c:pt idx="19">
                  <c:v>0.93</c:v>
                </c:pt>
                <c:pt idx="20">
                  <c:v>0.93500000000000005</c:v>
                </c:pt>
                <c:pt idx="21">
                  <c:v>0.93500000000000005</c:v>
                </c:pt>
                <c:pt idx="22">
                  <c:v>0.93</c:v>
                </c:pt>
                <c:pt idx="23">
                  <c:v>0.93</c:v>
                </c:pt>
                <c:pt idx="24">
                  <c:v>0.93</c:v>
                </c:pt>
                <c:pt idx="25">
                  <c:v>0.93</c:v>
                </c:pt>
                <c:pt idx="26">
                  <c:v>0.93</c:v>
                </c:pt>
                <c:pt idx="27">
                  <c:v>0.93</c:v>
                </c:pt>
                <c:pt idx="28">
                  <c:v>0.93500000000000005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'Cog-Pass_rf'!$A$9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'Cog-Pass_rf'!$B$9:$AD$9</c:f>
              <c:numCache>
                <c:formatCode>General</c:formatCode>
                <c:ptCount val="29"/>
                <c:pt idx="0">
                  <c:v>0.93617021276595747</c:v>
                </c:pt>
                <c:pt idx="1">
                  <c:v>0.93617021276595747</c:v>
                </c:pt>
                <c:pt idx="2">
                  <c:v>0.93617021276595747</c:v>
                </c:pt>
                <c:pt idx="3">
                  <c:v>0.93617021276595747</c:v>
                </c:pt>
                <c:pt idx="4">
                  <c:v>0.93617021276595747</c:v>
                </c:pt>
                <c:pt idx="5">
                  <c:v>0.93617021276595747</c:v>
                </c:pt>
                <c:pt idx="6">
                  <c:v>0.92553191489361697</c:v>
                </c:pt>
                <c:pt idx="7">
                  <c:v>0.92553191489361697</c:v>
                </c:pt>
                <c:pt idx="8">
                  <c:v>0.94680851063829785</c:v>
                </c:pt>
                <c:pt idx="9">
                  <c:v>0.93617021276595747</c:v>
                </c:pt>
                <c:pt idx="10">
                  <c:v>0.94680851063829785</c:v>
                </c:pt>
                <c:pt idx="11">
                  <c:v>0.94680851063829785</c:v>
                </c:pt>
                <c:pt idx="12">
                  <c:v>0.94680851063829785</c:v>
                </c:pt>
                <c:pt idx="13">
                  <c:v>0.95744680851063835</c:v>
                </c:pt>
                <c:pt idx="14">
                  <c:v>0.98936170212765961</c:v>
                </c:pt>
                <c:pt idx="15">
                  <c:v>0.97872340425531912</c:v>
                </c:pt>
                <c:pt idx="16">
                  <c:v>0.97872340425531912</c:v>
                </c:pt>
                <c:pt idx="17">
                  <c:v>0.97872340425531912</c:v>
                </c:pt>
                <c:pt idx="18">
                  <c:v>0.96808510638297873</c:v>
                </c:pt>
                <c:pt idx="19">
                  <c:v>0.96808510638297873</c:v>
                </c:pt>
                <c:pt idx="20">
                  <c:v>0.97872340425531912</c:v>
                </c:pt>
                <c:pt idx="21">
                  <c:v>0.97872340425531912</c:v>
                </c:pt>
                <c:pt idx="22">
                  <c:v>0.97872340425531912</c:v>
                </c:pt>
                <c:pt idx="23">
                  <c:v>0.97872340425531912</c:v>
                </c:pt>
                <c:pt idx="24">
                  <c:v>0.97872340425531912</c:v>
                </c:pt>
                <c:pt idx="25">
                  <c:v>0.97872340425531912</c:v>
                </c:pt>
                <c:pt idx="26">
                  <c:v>0.97872340425531912</c:v>
                </c:pt>
                <c:pt idx="27">
                  <c:v>0.97872340425531912</c:v>
                </c:pt>
                <c:pt idx="28">
                  <c:v>0.97872340425531912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'Cog-Pass_rf'!$A$10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'Cog-Pass_rf'!$B$10:$AD$10</c:f>
              <c:numCache>
                <c:formatCode>General</c:formatCode>
                <c:ptCount val="29"/>
                <c:pt idx="0">
                  <c:v>0.89795918367346939</c:v>
                </c:pt>
                <c:pt idx="1">
                  <c:v>0.89795918367346939</c:v>
                </c:pt>
                <c:pt idx="2">
                  <c:v>0.89795918367346939</c:v>
                </c:pt>
                <c:pt idx="3">
                  <c:v>0.89795918367346939</c:v>
                </c:pt>
                <c:pt idx="4">
                  <c:v>0.89795918367346939</c:v>
                </c:pt>
                <c:pt idx="5">
                  <c:v>0.89795918367346939</c:v>
                </c:pt>
                <c:pt idx="6">
                  <c:v>0.87878787878787878</c:v>
                </c:pt>
                <c:pt idx="7">
                  <c:v>0.86138613861386137</c:v>
                </c:pt>
                <c:pt idx="8">
                  <c:v>0.88118811881188119</c:v>
                </c:pt>
                <c:pt idx="9">
                  <c:v>0.87128712871287128</c:v>
                </c:pt>
                <c:pt idx="10">
                  <c:v>0.87254901960784315</c:v>
                </c:pt>
                <c:pt idx="11">
                  <c:v>0.87254901960784315</c:v>
                </c:pt>
                <c:pt idx="12">
                  <c:v>0.89</c:v>
                </c:pt>
                <c:pt idx="13">
                  <c:v>0.88235294117647056</c:v>
                </c:pt>
                <c:pt idx="14">
                  <c:v>0.86111111111111116</c:v>
                </c:pt>
                <c:pt idx="15">
                  <c:v>0.85981308411214952</c:v>
                </c:pt>
                <c:pt idx="16">
                  <c:v>0.86792452830188682</c:v>
                </c:pt>
                <c:pt idx="17">
                  <c:v>0.86792452830188682</c:v>
                </c:pt>
                <c:pt idx="18">
                  <c:v>0.88349514563106801</c:v>
                </c:pt>
                <c:pt idx="19">
                  <c:v>0.89215686274509809</c:v>
                </c:pt>
                <c:pt idx="20">
                  <c:v>0.89320388349514568</c:v>
                </c:pt>
                <c:pt idx="21">
                  <c:v>0.89320388349514568</c:v>
                </c:pt>
                <c:pt idx="22">
                  <c:v>0.88461538461538458</c:v>
                </c:pt>
                <c:pt idx="23">
                  <c:v>0.88461538461538458</c:v>
                </c:pt>
                <c:pt idx="24">
                  <c:v>0.88461538461538458</c:v>
                </c:pt>
                <c:pt idx="25">
                  <c:v>0.88461538461538458</c:v>
                </c:pt>
                <c:pt idx="26">
                  <c:v>0.88461538461538458</c:v>
                </c:pt>
                <c:pt idx="27">
                  <c:v>0.88461538461538458</c:v>
                </c:pt>
                <c:pt idx="28">
                  <c:v>0.89320388349514568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'Cog-Pass_rf'!$A$1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'Cog-Pass_rf'!$B$1:$AD$1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88</c:v>
                      </c:pt>
                      <c:pt idx="1">
                        <c:v>88</c:v>
                      </c:pt>
                      <c:pt idx="2">
                        <c:v>88</c:v>
                      </c:pt>
                      <c:pt idx="3">
                        <c:v>88</c:v>
                      </c:pt>
                      <c:pt idx="4">
                        <c:v>88</c:v>
                      </c:pt>
                      <c:pt idx="5">
                        <c:v>88</c:v>
                      </c:pt>
                      <c:pt idx="6">
                        <c:v>87</c:v>
                      </c:pt>
                      <c:pt idx="7">
                        <c:v>87</c:v>
                      </c:pt>
                      <c:pt idx="8">
                        <c:v>89</c:v>
                      </c:pt>
                      <c:pt idx="9">
                        <c:v>88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90</c:v>
                      </c:pt>
                      <c:pt idx="14">
                        <c:v>93</c:v>
                      </c:pt>
                      <c:pt idx="15">
                        <c:v>92</c:v>
                      </c:pt>
                      <c:pt idx="16">
                        <c:v>92</c:v>
                      </c:pt>
                      <c:pt idx="17">
                        <c:v>92</c:v>
                      </c:pt>
                      <c:pt idx="18">
                        <c:v>91</c:v>
                      </c:pt>
                      <c:pt idx="19">
                        <c:v>91</c:v>
                      </c:pt>
                      <c:pt idx="20">
                        <c:v>92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92</c:v>
                      </c:pt>
                      <c:pt idx="24">
                        <c:v>92</c:v>
                      </c:pt>
                      <c:pt idx="25">
                        <c:v>92</c:v>
                      </c:pt>
                      <c:pt idx="26">
                        <c:v>92</c:v>
                      </c:pt>
                      <c:pt idx="27">
                        <c:v>92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12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11</c:v>
                      </c:pt>
                      <c:pt idx="13">
                        <c:v>12</c:v>
                      </c:pt>
                      <c:pt idx="14">
                        <c:v>15</c:v>
                      </c:pt>
                      <c:pt idx="15">
                        <c:v>15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12</c:v>
                      </c:pt>
                      <c:pt idx="19">
                        <c:v>11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12</c:v>
                      </c:pt>
                      <c:pt idx="28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96</c:v>
                      </c:pt>
                      <c:pt idx="1">
                        <c:v>96</c:v>
                      </c:pt>
                      <c:pt idx="2">
                        <c:v>96</c:v>
                      </c:pt>
                      <c:pt idx="3">
                        <c:v>96</c:v>
                      </c:pt>
                      <c:pt idx="4">
                        <c:v>96</c:v>
                      </c:pt>
                      <c:pt idx="5">
                        <c:v>96</c:v>
                      </c:pt>
                      <c:pt idx="6">
                        <c:v>94</c:v>
                      </c:pt>
                      <c:pt idx="7">
                        <c:v>92</c:v>
                      </c:pt>
                      <c:pt idx="8">
                        <c:v>94</c:v>
                      </c:pt>
                      <c:pt idx="9">
                        <c:v>93</c:v>
                      </c:pt>
                      <c:pt idx="10">
                        <c:v>93</c:v>
                      </c:pt>
                      <c:pt idx="11">
                        <c:v>93</c:v>
                      </c:pt>
                      <c:pt idx="12">
                        <c:v>95</c:v>
                      </c:pt>
                      <c:pt idx="13">
                        <c:v>94</c:v>
                      </c:pt>
                      <c:pt idx="14">
                        <c:v>91</c:v>
                      </c:pt>
                      <c:pt idx="15">
                        <c:v>91</c:v>
                      </c:pt>
                      <c:pt idx="16">
                        <c:v>92</c:v>
                      </c:pt>
                      <c:pt idx="17">
                        <c:v>92</c:v>
                      </c:pt>
                      <c:pt idx="18">
                        <c:v>94</c:v>
                      </c:pt>
                      <c:pt idx="19">
                        <c:v>95</c:v>
                      </c:pt>
                      <c:pt idx="20">
                        <c:v>95</c:v>
                      </c:pt>
                      <c:pt idx="21">
                        <c:v>95</c:v>
                      </c:pt>
                      <c:pt idx="22">
                        <c:v>94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94</c:v>
                      </c:pt>
                      <c:pt idx="26">
                        <c:v>94</c:v>
                      </c:pt>
                      <c:pt idx="27">
                        <c:v>94</c:v>
                      </c:pt>
                      <c:pt idx="28">
                        <c:v>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7.999999999999996E-2</c:v>
                      </c:pt>
                      <c:pt idx="1">
                        <c:v>7.999999999999996E-2</c:v>
                      </c:pt>
                      <c:pt idx="2">
                        <c:v>7.999999999999996E-2</c:v>
                      </c:pt>
                      <c:pt idx="3">
                        <c:v>7.999999999999996E-2</c:v>
                      </c:pt>
                      <c:pt idx="4">
                        <c:v>7.999999999999996E-2</c:v>
                      </c:pt>
                      <c:pt idx="5">
                        <c:v>7.999999999999996E-2</c:v>
                      </c:pt>
                      <c:pt idx="6">
                        <c:v>9.4999999999999973E-2</c:v>
                      </c:pt>
                      <c:pt idx="7">
                        <c:v>0.10499999999999998</c:v>
                      </c:pt>
                      <c:pt idx="8">
                        <c:v>8.4999999999999964E-2</c:v>
                      </c:pt>
                      <c:pt idx="9">
                        <c:v>9.4999999999999973E-2</c:v>
                      </c:pt>
                      <c:pt idx="10">
                        <c:v>8.9999999999999969E-2</c:v>
                      </c:pt>
                      <c:pt idx="11">
                        <c:v>8.9999999999999969E-2</c:v>
                      </c:pt>
                      <c:pt idx="12">
                        <c:v>7.999999999999996E-2</c:v>
                      </c:pt>
                      <c:pt idx="13">
                        <c:v>7.999999999999996E-2</c:v>
                      </c:pt>
                      <c:pt idx="14">
                        <c:v>7.999999999999996E-2</c:v>
                      </c:pt>
                      <c:pt idx="15">
                        <c:v>8.4999999999999964E-2</c:v>
                      </c:pt>
                      <c:pt idx="16">
                        <c:v>7.999999999999996E-2</c:v>
                      </c:pt>
                      <c:pt idx="17">
                        <c:v>7.999999999999996E-2</c:v>
                      </c:pt>
                      <c:pt idx="18">
                        <c:v>7.4999999999999956E-2</c:v>
                      </c:pt>
                      <c:pt idx="19">
                        <c:v>6.9999999999999951E-2</c:v>
                      </c:pt>
                      <c:pt idx="20">
                        <c:v>6.4999999999999947E-2</c:v>
                      </c:pt>
                      <c:pt idx="21">
                        <c:v>6.4999999999999947E-2</c:v>
                      </c:pt>
                      <c:pt idx="22">
                        <c:v>6.9999999999999951E-2</c:v>
                      </c:pt>
                      <c:pt idx="23">
                        <c:v>6.9999999999999951E-2</c:v>
                      </c:pt>
                      <c:pt idx="24">
                        <c:v>6.9999999999999951E-2</c:v>
                      </c:pt>
                      <c:pt idx="25">
                        <c:v>6.9999999999999951E-2</c:v>
                      </c:pt>
                      <c:pt idx="26">
                        <c:v>6.9999999999999951E-2</c:v>
                      </c:pt>
                      <c:pt idx="27">
                        <c:v>6.9999999999999951E-2</c:v>
                      </c:pt>
                      <c:pt idx="28">
                        <c:v>6.4999999999999947E-2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'Cog-Pass_rf'!$A$11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'Cog-Pass_rf'!$B$11:$AD$11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0.91666666666666663</c:v>
                      </c:pt>
                      <c:pt idx="1">
                        <c:v>0.91666666666666663</c:v>
                      </c:pt>
                      <c:pt idx="2">
                        <c:v>0.91666666666666663</c:v>
                      </c:pt>
                      <c:pt idx="3">
                        <c:v>0.91666666666666663</c:v>
                      </c:pt>
                      <c:pt idx="4">
                        <c:v>0.91666666666666663</c:v>
                      </c:pt>
                      <c:pt idx="5">
                        <c:v>0.91666666666666663</c:v>
                      </c:pt>
                      <c:pt idx="6">
                        <c:v>0.90155440414507781</c:v>
                      </c:pt>
                      <c:pt idx="7">
                        <c:v>0.89230769230769225</c:v>
                      </c:pt>
                      <c:pt idx="8">
                        <c:v>0.9128205128205128</c:v>
                      </c:pt>
                      <c:pt idx="9">
                        <c:v>0.90256410256410269</c:v>
                      </c:pt>
                      <c:pt idx="10">
                        <c:v>0.90816326530612257</c:v>
                      </c:pt>
                      <c:pt idx="11">
                        <c:v>0.90816326530612257</c:v>
                      </c:pt>
                      <c:pt idx="12">
                        <c:v>0.91752577319587636</c:v>
                      </c:pt>
                      <c:pt idx="13">
                        <c:v>0.91836734693877542</c:v>
                      </c:pt>
                      <c:pt idx="14">
                        <c:v>0.92079207920792083</c:v>
                      </c:pt>
                      <c:pt idx="15">
                        <c:v>0.91542288557213924</c:v>
                      </c:pt>
                      <c:pt idx="16">
                        <c:v>0.91999999999999993</c:v>
                      </c:pt>
                      <c:pt idx="17">
                        <c:v>0.91999999999999993</c:v>
                      </c:pt>
                      <c:pt idx="18">
                        <c:v>0.92385786802030456</c:v>
                      </c:pt>
                      <c:pt idx="19">
                        <c:v>0.9285714285714286</c:v>
                      </c:pt>
                      <c:pt idx="20">
                        <c:v>0.93401015228426398</c:v>
                      </c:pt>
                      <c:pt idx="21">
                        <c:v>0.93401015228426398</c:v>
                      </c:pt>
                      <c:pt idx="22">
                        <c:v>0.92929292929292928</c:v>
                      </c:pt>
                      <c:pt idx="23">
                        <c:v>0.92929292929292928</c:v>
                      </c:pt>
                      <c:pt idx="24">
                        <c:v>0.92929292929292928</c:v>
                      </c:pt>
                      <c:pt idx="25">
                        <c:v>0.92929292929292928</c:v>
                      </c:pt>
                      <c:pt idx="26">
                        <c:v>0.92929292929292928</c:v>
                      </c:pt>
                      <c:pt idx="27">
                        <c:v>0.92929292929292928</c:v>
                      </c:pt>
                      <c:pt idx="28">
                        <c:v>0.93401015228426398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77D9-4A1C-88F1-5D85263F262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'Cog-Pass_rf'!$A$12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'Cog-Pass_rf'!$B$12:$AD$12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0.90566037735849059</c:v>
                      </c:pt>
                      <c:pt idx="1">
                        <c:v>0.90566037735849059</c:v>
                      </c:pt>
                      <c:pt idx="2">
                        <c:v>0.90566037735849059</c:v>
                      </c:pt>
                      <c:pt idx="3">
                        <c:v>0.90566037735849059</c:v>
                      </c:pt>
                      <c:pt idx="4">
                        <c:v>0.90566037735849059</c:v>
                      </c:pt>
                      <c:pt idx="5">
                        <c:v>0.90566037735849059</c:v>
                      </c:pt>
                      <c:pt idx="6">
                        <c:v>0.8867924528301887</c:v>
                      </c:pt>
                      <c:pt idx="7">
                        <c:v>0.86792452830188682</c:v>
                      </c:pt>
                      <c:pt idx="8">
                        <c:v>0.8867924528301887</c:v>
                      </c:pt>
                      <c:pt idx="9">
                        <c:v>0.87735849056603776</c:v>
                      </c:pt>
                      <c:pt idx="10">
                        <c:v>0.87735849056603776</c:v>
                      </c:pt>
                      <c:pt idx="11">
                        <c:v>0.87735849056603776</c:v>
                      </c:pt>
                      <c:pt idx="12">
                        <c:v>0.89622641509433965</c:v>
                      </c:pt>
                      <c:pt idx="13">
                        <c:v>0.8867924528301887</c:v>
                      </c:pt>
                      <c:pt idx="14">
                        <c:v>0.85849056603773588</c:v>
                      </c:pt>
                      <c:pt idx="15">
                        <c:v>0.85849056603773588</c:v>
                      </c:pt>
                      <c:pt idx="16">
                        <c:v>0.86792452830188682</c:v>
                      </c:pt>
                      <c:pt idx="17">
                        <c:v>0.86792452830188682</c:v>
                      </c:pt>
                      <c:pt idx="18">
                        <c:v>0.8867924528301887</c:v>
                      </c:pt>
                      <c:pt idx="19">
                        <c:v>0.89622641509433965</c:v>
                      </c:pt>
                      <c:pt idx="20">
                        <c:v>0.89622641509433965</c:v>
                      </c:pt>
                      <c:pt idx="21">
                        <c:v>0.89622641509433965</c:v>
                      </c:pt>
                      <c:pt idx="22">
                        <c:v>0.8867924528301887</c:v>
                      </c:pt>
                      <c:pt idx="23">
                        <c:v>0.8867924528301887</c:v>
                      </c:pt>
                      <c:pt idx="24">
                        <c:v>0.8867924528301887</c:v>
                      </c:pt>
                      <c:pt idx="25">
                        <c:v>0.8867924528301887</c:v>
                      </c:pt>
                      <c:pt idx="26">
                        <c:v>0.8867924528301887</c:v>
                      </c:pt>
                      <c:pt idx="27">
                        <c:v>0.8867924528301887</c:v>
                      </c:pt>
                      <c:pt idx="28">
                        <c:v>0.89622641509433965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85000000000000009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'Cog-Dropout_rf'!$A$7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'Cog-Dropout_rf'!$B$7:$AD$7</c:f>
              <c:numCache>
                <c:formatCode>General</c:formatCode>
                <c:ptCount val="29"/>
                <c:pt idx="0">
                  <c:v>0.84</c:v>
                </c:pt>
                <c:pt idx="1">
                  <c:v>0.84</c:v>
                </c:pt>
                <c:pt idx="2">
                  <c:v>0.84</c:v>
                </c:pt>
                <c:pt idx="3">
                  <c:v>0.84</c:v>
                </c:pt>
                <c:pt idx="4">
                  <c:v>0.84499999999999997</c:v>
                </c:pt>
                <c:pt idx="5">
                  <c:v>0.83499999999999996</c:v>
                </c:pt>
                <c:pt idx="6">
                  <c:v>0.85499999999999998</c:v>
                </c:pt>
                <c:pt idx="7">
                  <c:v>0.84499999999999997</c:v>
                </c:pt>
                <c:pt idx="8">
                  <c:v>0.89500000000000002</c:v>
                </c:pt>
                <c:pt idx="9">
                  <c:v>0.89500000000000002</c:v>
                </c:pt>
                <c:pt idx="10">
                  <c:v>0.89</c:v>
                </c:pt>
                <c:pt idx="11">
                  <c:v>0.89500000000000002</c:v>
                </c:pt>
                <c:pt idx="12">
                  <c:v>0.9</c:v>
                </c:pt>
                <c:pt idx="13">
                  <c:v>0.91</c:v>
                </c:pt>
                <c:pt idx="14">
                  <c:v>0.91500000000000004</c:v>
                </c:pt>
                <c:pt idx="15">
                  <c:v>0.91</c:v>
                </c:pt>
                <c:pt idx="16">
                  <c:v>0.91500000000000004</c:v>
                </c:pt>
                <c:pt idx="17">
                  <c:v>0.91500000000000004</c:v>
                </c:pt>
                <c:pt idx="18">
                  <c:v>0.91</c:v>
                </c:pt>
                <c:pt idx="19">
                  <c:v>0.91</c:v>
                </c:pt>
                <c:pt idx="20">
                  <c:v>0.90500000000000003</c:v>
                </c:pt>
                <c:pt idx="21">
                  <c:v>0.91</c:v>
                </c:pt>
                <c:pt idx="22">
                  <c:v>0.91500000000000004</c:v>
                </c:pt>
                <c:pt idx="23">
                  <c:v>0.91500000000000004</c:v>
                </c:pt>
                <c:pt idx="24">
                  <c:v>0.91</c:v>
                </c:pt>
                <c:pt idx="25">
                  <c:v>0.91</c:v>
                </c:pt>
                <c:pt idx="26">
                  <c:v>0.91</c:v>
                </c:pt>
                <c:pt idx="27">
                  <c:v>0.91</c:v>
                </c:pt>
                <c:pt idx="28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'Cog-Dropout_rf'!$A$9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'Cog-Dropout_rf'!$B$9:$AD$9</c:f>
              <c:numCache>
                <c:formatCode>General</c:formatCode>
                <c:ptCount val="29"/>
                <c:pt idx="0">
                  <c:v>0.98611111111111116</c:v>
                </c:pt>
                <c:pt idx="1">
                  <c:v>0.98611111111111116</c:v>
                </c:pt>
                <c:pt idx="2">
                  <c:v>0.98611111111111116</c:v>
                </c:pt>
                <c:pt idx="3">
                  <c:v>0.98611111111111116</c:v>
                </c:pt>
                <c:pt idx="4">
                  <c:v>0.98611111111111116</c:v>
                </c:pt>
                <c:pt idx="5">
                  <c:v>0.95833333333333337</c:v>
                </c:pt>
                <c:pt idx="6">
                  <c:v>0.90277777777777779</c:v>
                </c:pt>
                <c:pt idx="7">
                  <c:v>0.88888888888888884</c:v>
                </c:pt>
                <c:pt idx="8">
                  <c:v>0.86111111111111116</c:v>
                </c:pt>
                <c:pt idx="9">
                  <c:v>0.86111111111111116</c:v>
                </c:pt>
                <c:pt idx="10">
                  <c:v>0.84722222222222221</c:v>
                </c:pt>
                <c:pt idx="11">
                  <c:v>0.86111111111111116</c:v>
                </c:pt>
                <c:pt idx="12">
                  <c:v>0.88888888888888884</c:v>
                </c:pt>
                <c:pt idx="13">
                  <c:v>0.88888888888888884</c:v>
                </c:pt>
                <c:pt idx="14">
                  <c:v>0.95833333333333337</c:v>
                </c:pt>
                <c:pt idx="15">
                  <c:v>0.94444444444444442</c:v>
                </c:pt>
                <c:pt idx="16">
                  <c:v>0.94444444444444442</c:v>
                </c:pt>
                <c:pt idx="17">
                  <c:v>0.94444444444444442</c:v>
                </c:pt>
                <c:pt idx="18">
                  <c:v>0.94444444444444442</c:v>
                </c:pt>
                <c:pt idx="19">
                  <c:v>0.94444444444444442</c:v>
                </c:pt>
                <c:pt idx="20">
                  <c:v>0.91666666666666663</c:v>
                </c:pt>
                <c:pt idx="21">
                  <c:v>0.93055555555555558</c:v>
                </c:pt>
                <c:pt idx="22">
                  <c:v>0.93055555555555558</c:v>
                </c:pt>
                <c:pt idx="23">
                  <c:v>0.93055555555555558</c:v>
                </c:pt>
                <c:pt idx="24">
                  <c:v>0.93055555555555558</c:v>
                </c:pt>
                <c:pt idx="25">
                  <c:v>0.93055555555555558</c:v>
                </c:pt>
                <c:pt idx="26">
                  <c:v>0.93055555555555558</c:v>
                </c:pt>
                <c:pt idx="27">
                  <c:v>0.93055555555555558</c:v>
                </c:pt>
                <c:pt idx="28">
                  <c:v>0.93055555555555558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'Cog-Dropout_rf'!$A$10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'Cog-Dropout_rf'!$B$10:$AD$10</c:f>
              <c:numCache>
                <c:formatCode>General</c:formatCode>
                <c:ptCount val="29"/>
                <c:pt idx="0">
                  <c:v>0.69607843137254899</c:v>
                </c:pt>
                <c:pt idx="1">
                  <c:v>0.69607843137254899</c:v>
                </c:pt>
                <c:pt idx="2">
                  <c:v>0.69607843137254899</c:v>
                </c:pt>
                <c:pt idx="3">
                  <c:v>0.69607843137254899</c:v>
                </c:pt>
                <c:pt idx="4">
                  <c:v>0.70297029702970293</c:v>
                </c:pt>
                <c:pt idx="5">
                  <c:v>0.69696969696969702</c:v>
                </c:pt>
                <c:pt idx="6">
                  <c:v>0.74712643678160917</c:v>
                </c:pt>
                <c:pt idx="7">
                  <c:v>0.73563218390804597</c:v>
                </c:pt>
                <c:pt idx="8">
                  <c:v>0.84931506849315064</c:v>
                </c:pt>
                <c:pt idx="9">
                  <c:v>0.84931506849315064</c:v>
                </c:pt>
                <c:pt idx="10">
                  <c:v>0.84722222222222221</c:v>
                </c:pt>
                <c:pt idx="11">
                  <c:v>0.84931506849315064</c:v>
                </c:pt>
                <c:pt idx="12">
                  <c:v>0.84210526315789469</c:v>
                </c:pt>
                <c:pt idx="13">
                  <c:v>0.86486486486486491</c:v>
                </c:pt>
                <c:pt idx="14">
                  <c:v>0.83132530120481929</c:v>
                </c:pt>
                <c:pt idx="15">
                  <c:v>0.82926829268292679</c:v>
                </c:pt>
                <c:pt idx="16">
                  <c:v>0.83950617283950613</c:v>
                </c:pt>
                <c:pt idx="17">
                  <c:v>0.83950617283950613</c:v>
                </c:pt>
                <c:pt idx="18">
                  <c:v>0.82926829268292679</c:v>
                </c:pt>
                <c:pt idx="19">
                  <c:v>0.82926829268292679</c:v>
                </c:pt>
                <c:pt idx="20">
                  <c:v>0.83544303797468356</c:v>
                </c:pt>
                <c:pt idx="21">
                  <c:v>0.83750000000000002</c:v>
                </c:pt>
                <c:pt idx="22">
                  <c:v>0.84810126582278478</c:v>
                </c:pt>
                <c:pt idx="23">
                  <c:v>0.84810126582278478</c:v>
                </c:pt>
                <c:pt idx="24">
                  <c:v>0.83750000000000002</c:v>
                </c:pt>
                <c:pt idx="25">
                  <c:v>0.83750000000000002</c:v>
                </c:pt>
                <c:pt idx="26">
                  <c:v>0.83750000000000002</c:v>
                </c:pt>
                <c:pt idx="27">
                  <c:v>0.83750000000000002</c:v>
                </c:pt>
                <c:pt idx="28">
                  <c:v>0.83750000000000002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'Cog-Dropout_rf'!$A$1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'Cog-Dropout_rf'!$B$1:$AD$1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71</c:v>
                      </c:pt>
                      <c:pt idx="1">
                        <c:v>71</c:v>
                      </c:pt>
                      <c:pt idx="2">
                        <c:v>71</c:v>
                      </c:pt>
                      <c:pt idx="3">
                        <c:v>71</c:v>
                      </c:pt>
                      <c:pt idx="4">
                        <c:v>71</c:v>
                      </c:pt>
                      <c:pt idx="5">
                        <c:v>69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62</c:v>
                      </c:pt>
                      <c:pt idx="9">
                        <c:v>62</c:v>
                      </c:pt>
                      <c:pt idx="10">
                        <c:v>61</c:v>
                      </c:pt>
                      <c:pt idx="11">
                        <c:v>62</c:v>
                      </c:pt>
                      <c:pt idx="12">
                        <c:v>64</c:v>
                      </c:pt>
                      <c:pt idx="13">
                        <c:v>64</c:v>
                      </c:pt>
                      <c:pt idx="14">
                        <c:v>69</c:v>
                      </c:pt>
                      <c:pt idx="15">
                        <c:v>68</c:v>
                      </c:pt>
                      <c:pt idx="16">
                        <c:v>68</c:v>
                      </c:pt>
                      <c:pt idx="17">
                        <c:v>68</c:v>
                      </c:pt>
                      <c:pt idx="18">
                        <c:v>68</c:v>
                      </c:pt>
                      <c:pt idx="19">
                        <c:v>68</c:v>
                      </c:pt>
                      <c:pt idx="20">
                        <c:v>66</c:v>
                      </c:pt>
                      <c:pt idx="21">
                        <c:v>67</c:v>
                      </c:pt>
                      <c:pt idx="22">
                        <c:v>67</c:v>
                      </c:pt>
                      <c:pt idx="23">
                        <c:v>67</c:v>
                      </c:pt>
                      <c:pt idx="24">
                        <c:v>67</c:v>
                      </c:pt>
                      <c:pt idx="25">
                        <c:v>67</c:v>
                      </c:pt>
                      <c:pt idx="26">
                        <c:v>67</c:v>
                      </c:pt>
                      <c:pt idx="27">
                        <c:v>67</c:v>
                      </c:pt>
                      <c:pt idx="28">
                        <c:v>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3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10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10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6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31</c:v>
                      </c:pt>
                      <c:pt idx="3">
                        <c:v>31</c:v>
                      </c:pt>
                      <c:pt idx="4">
                        <c:v>30</c:v>
                      </c:pt>
                      <c:pt idx="5">
                        <c:v>30</c:v>
                      </c:pt>
                      <c:pt idx="6">
                        <c:v>22</c:v>
                      </c:pt>
                      <c:pt idx="7">
                        <c:v>23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10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97</c:v>
                      </c:pt>
                      <c:pt idx="1">
                        <c:v>97</c:v>
                      </c:pt>
                      <c:pt idx="2">
                        <c:v>97</c:v>
                      </c:pt>
                      <c:pt idx="3">
                        <c:v>97</c:v>
                      </c:pt>
                      <c:pt idx="4">
                        <c:v>98</c:v>
                      </c:pt>
                      <c:pt idx="5">
                        <c:v>98</c:v>
                      </c:pt>
                      <c:pt idx="6">
                        <c:v>106</c:v>
                      </c:pt>
                      <c:pt idx="7">
                        <c:v>105</c:v>
                      </c:pt>
                      <c:pt idx="8">
                        <c:v>117</c:v>
                      </c:pt>
                      <c:pt idx="9">
                        <c:v>117</c:v>
                      </c:pt>
                      <c:pt idx="10">
                        <c:v>117</c:v>
                      </c:pt>
                      <c:pt idx="11">
                        <c:v>117</c:v>
                      </c:pt>
                      <c:pt idx="12">
                        <c:v>116</c:v>
                      </c:pt>
                      <c:pt idx="13">
                        <c:v>118</c:v>
                      </c:pt>
                      <c:pt idx="14">
                        <c:v>114</c:v>
                      </c:pt>
                      <c:pt idx="15">
                        <c:v>114</c:v>
                      </c:pt>
                      <c:pt idx="16">
                        <c:v>115</c:v>
                      </c:pt>
                      <c:pt idx="17">
                        <c:v>115</c:v>
                      </c:pt>
                      <c:pt idx="18">
                        <c:v>114</c:v>
                      </c:pt>
                      <c:pt idx="19">
                        <c:v>114</c:v>
                      </c:pt>
                      <c:pt idx="20">
                        <c:v>115</c:v>
                      </c:pt>
                      <c:pt idx="21">
                        <c:v>115</c:v>
                      </c:pt>
                      <c:pt idx="22">
                        <c:v>116</c:v>
                      </c:pt>
                      <c:pt idx="23">
                        <c:v>116</c:v>
                      </c:pt>
                      <c:pt idx="24">
                        <c:v>115</c:v>
                      </c:pt>
                      <c:pt idx="25">
                        <c:v>115</c:v>
                      </c:pt>
                      <c:pt idx="26">
                        <c:v>115</c:v>
                      </c:pt>
                      <c:pt idx="27">
                        <c:v>115</c:v>
                      </c:pt>
                      <c:pt idx="28">
                        <c:v>115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0.16000000000000003</c:v>
                      </c:pt>
                      <c:pt idx="1">
                        <c:v>0.16000000000000003</c:v>
                      </c:pt>
                      <c:pt idx="2">
                        <c:v>0.16000000000000003</c:v>
                      </c:pt>
                      <c:pt idx="3">
                        <c:v>0.16000000000000003</c:v>
                      </c:pt>
                      <c:pt idx="4">
                        <c:v>0.15500000000000003</c:v>
                      </c:pt>
                      <c:pt idx="5">
                        <c:v>0.16500000000000004</c:v>
                      </c:pt>
                      <c:pt idx="6">
                        <c:v>0.14500000000000002</c:v>
                      </c:pt>
                      <c:pt idx="7">
                        <c:v>0.15500000000000003</c:v>
                      </c:pt>
                      <c:pt idx="8">
                        <c:v>0.10499999999999998</c:v>
                      </c:pt>
                      <c:pt idx="9">
                        <c:v>0.10499999999999998</c:v>
                      </c:pt>
                      <c:pt idx="10">
                        <c:v>0.10999999999999999</c:v>
                      </c:pt>
                      <c:pt idx="11">
                        <c:v>0.10499999999999998</c:v>
                      </c:pt>
                      <c:pt idx="12">
                        <c:v>9.9999999999999978E-2</c:v>
                      </c:pt>
                      <c:pt idx="13">
                        <c:v>8.9999999999999969E-2</c:v>
                      </c:pt>
                      <c:pt idx="14">
                        <c:v>8.4999999999999964E-2</c:v>
                      </c:pt>
                      <c:pt idx="15">
                        <c:v>8.9999999999999969E-2</c:v>
                      </c:pt>
                      <c:pt idx="16">
                        <c:v>8.4999999999999964E-2</c:v>
                      </c:pt>
                      <c:pt idx="17">
                        <c:v>8.4999999999999964E-2</c:v>
                      </c:pt>
                      <c:pt idx="18">
                        <c:v>8.9999999999999969E-2</c:v>
                      </c:pt>
                      <c:pt idx="19">
                        <c:v>8.9999999999999969E-2</c:v>
                      </c:pt>
                      <c:pt idx="20">
                        <c:v>9.4999999999999973E-2</c:v>
                      </c:pt>
                      <c:pt idx="21">
                        <c:v>8.9999999999999969E-2</c:v>
                      </c:pt>
                      <c:pt idx="22">
                        <c:v>8.4999999999999964E-2</c:v>
                      </c:pt>
                      <c:pt idx="23">
                        <c:v>8.4999999999999964E-2</c:v>
                      </c:pt>
                      <c:pt idx="24">
                        <c:v>8.9999999999999969E-2</c:v>
                      </c:pt>
                      <c:pt idx="25">
                        <c:v>8.9999999999999969E-2</c:v>
                      </c:pt>
                      <c:pt idx="26">
                        <c:v>8.9999999999999969E-2</c:v>
                      </c:pt>
                      <c:pt idx="27">
                        <c:v>8.9999999999999969E-2</c:v>
                      </c:pt>
                      <c:pt idx="28">
                        <c:v>8.9999999999999969E-2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'Cog-Dropout_rf'!$A$11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'Cog-Dropout_rf'!$B$11:$AD$11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0.81609195402298851</c:v>
                      </c:pt>
                      <c:pt idx="1">
                        <c:v>0.81609195402298851</c:v>
                      </c:pt>
                      <c:pt idx="2">
                        <c:v>0.81609195402298851</c:v>
                      </c:pt>
                      <c:pt idx="3">
                        <c:v>0.81609195402298851</c:v>
                      </c:pt>
                      <c:pt idx="4">
                        <c:v>0.82080924855491322</c:v>
                      </c:pt>
                      <c:pt idx="5">
                        <c:v>0.8070175438596493</c:v>
                      </c:pt>
                      <c:pt idx="6">
                        <c:v>0.81761006289308169</c:v>
                      </c:pt>
                      <c:pt idx="7">
                        <c:v>0.80503144654088044</c:v>
                      </c:pt>
                      <c:pt idx="8">
                        <c:v>0.85517241379310349</c:v>
                      </c:pt>
                      <c:pt idx="9">
                        <c:v>0.85517241379310349</c:v>
                      </c:pt>
                      <c:pt idx="10">
                        <c:v>0.84722222222222221</c:v>
                      </c:pt>
                      <c:pt idx="11">
                        <c:v>0.85517241379310349</c:v>
                      </c:pt>
                      <c:pt idx="12">
                        <c:v>0.86486486486486491</c:v>
                      </c:pt>
                      <c:pt idx="13">
                        <c:v>0.87671232876712324</c:v>
                      </c:pt>
                      <c:pt idx="14">
                        <c:v>0.89032258064516134</c:v>
                      </c:pt>
                      <c:pt idx="15">
                        <c:v>0.88311688311688297</c:v>
                      </c:pt>
                      <c:pt idx="16">
                        <c:v>0.88888888888888895</c:v>
                      </c:pt>
                      <c:pt idx="17">
                        <c:v>0.88888888888888895</c:v>
                      </c:pt>
                      <c:pt idx="18">
                        <c:v>0.88311688311688297</c:v>
                      </c:pt>
                      <c:pt idx="19">
                        <c:v>0.88311688311688297</c:v>
                      </c:pt>
                      <c:pt idx="20">
                        <c:v>0.8741721854304636</c:v>
                      </c:pt>
                      <c:pt idx="21">
                        <c:v>0.88157894736842102</c:v>
                      </c:pt>
                      <c:pt idx="22">
                        <c:v>0.88741721854304634</c:v>
                      </c:pt>
                      <c:pt idx="23">
                        <c:v>0.88741721854304634</c:v>
                      </c:pt>
                      <c:pt idx="24">
                        <c:v>0.88157894736842102</c:v>
                      </c:pt>
                      <c:pt idx="25">
                        <c:v>0.88157894736842102</c:v>
                      </c:pt>
                      <c:pt idx="26">
                        <c:v>0.88157894736842102</c:v>
                      </c:pt>
                      <c:pt idx="27">
                        <c:v>0.88157894736842102</c:v>
                      </c:pt>
                      <c:pt idx="28">
                        <c:v>0.88157894736842102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'Cog-Dropout_rf'!$A$12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'Cog-Dropout_rf'!$B$12:$AD$12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0.7578125</c:v>
                      </c:pt>
                      <c:pt idx="1">
                        <c:v>0.7578125</c:v>
                      </c:pt>
                      <c:pt idx="2">
                        <c:v>0.7578125</c:v>
                      </c:pt>
                      <c:pt idx="3">
                        <c:v>0.7578125</c:v>
                      </c:pt>
                      <c:pt idx="4">
                        <c:v>0.765625</c:v>
                      </c:pt>
                      <c:pt idx="5">
                        <c:v>0.765625</c:v>
                      </c:pt>
                      <c:pt idx="6">
                        <c:v>0.828125</c:v>
                      </c:pt>
                      <c:pt idx="7">
                        <c:v>0.8203125</c:v>
                      </c:pt>
                      <c:pt idx="8">
                        <c:v>0.9140625</c:v>
                      </c:pt>
                      <c:pt idx="9">
                        <c:v>0.9140625</c:v>
                      </c:pt>
                      <c:pt idx="10">
                        <c:v>0.9140625</c:v>
                      </c:pt>
                      <c:pt idx="11">
                        <c:v>0.9140625</c:v>
                      </c:pt>
                      <c:pt idx="12">
                        <c:v>0.90625</c:v>
                      </c:pt>
                      <c:pt idx="13">
                        <c:v>0.921875</c:v>
                      </c:pt>
                      <c:pt idx="14">
                        <c:v>0.890625</c:v>
                      </c:pt>
                      <c:pt idx="15">
                        <c:v>0.890625</c:v>
                      </c:pt>
                      <c:pt idx="16">
                        <c:v>0.8984375</c:v>
                      </c:pt>
                      <c:pt idx="17">
                        <c:v>0.8984375</c:v>
                      </c:pt>
                      <c:pt idx="18">
                        <c:v>0.890625</c:v>
                      </c:pt>
                      <c:pt idx="19">
                        <c:v>0.890625</c:v>
                      </c:pt>
                      <c:pt idx="20">
                        <c:v>0.8984375</c:v>
                      </c:pt>
                      <c:pt idx="21">
                        <c:v>0.8984375</c:v>
                      </c:pt>
                      <c:pt idx="22">
                        <c:v>0.90625</c:v>
                      </c:pt>
                      <c:pt idx="23">
                        <c:v>0.90625</c:v>
                      </c:pt>
                      <c:pt idx="24">
                        <c:v>0.8984375</c:v>
                      </c:pt>
                      <c:pt idx="25">
                        <c:v>0.8984375</c:v>
                      </c:pt>
                      <c:pt idx="26">
                        <c:v>0.8984375</c:v>
                      </c:pt>
                      <c:pt idx="27">
                        <c:v>0.8984375</c:v>
                      </c:pt>
                      <c:pt idx="28">
                        <c:v>0.8984375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800000000000001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'Cog-Fail_rf'!$A$7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'Cog-Fail_rf'!$B$7:$AD$7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0.83499999999999996</c:v>
                </c:pt>
                <c:pt idx="5">
                  <c:v>0.82499999999999996</c:v>
                </c:pt>
                <c:pt idx="6">
                  <c:v>0.83</c:v>
                </c:pt>
                <c:pt idx="7">
                  <c:v>0.81499999999999995</c:v>
                </c:pt>
                <c:pt idx="8">
                  <c:v>0.85</c:v>
                </c:pt>
                <c:pt idx="9">
                  <c:v>0.84</c:v>
                </c:pt>
                <c:pt idx="10">
                  <c:v>0.84</c:v>
                </c:pt>
                <c:pt idx="11">
                  <c:v>0.84499999999999997</c:v>
                </c:pt>
                <c:pt idx="12">
                  <c:v>0.9</c:v>
                </c:pt>
                <c:pt idx="13">
                  <c:v>0.85</c:v>
                </c:pt>
                <c:pt idx="14">
                  <c:v>0.86499999999999999</c:v>
                </c:pt>
                <c:pt idx="15">
                  <c:v>0.85499999999999998</c:v>
                </c:pt>
                <c:pt idx="16">
                  <c:v>0.85499999999999998</c:v>
                </c:pt>
                <c:pt idx="17">
                  <c:v>0.85499999999999998</c:v>
                </c:pt>
                <c:pt idx="18">
                  <c:v>0.84499999999999997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0.85499999999999998</c:v>
                </c:pt>
                <c:pt idx="23">
                  <c:v>0.85499999999999998</c:v>
                </c:pt>
                <c:pt idx="24">
                  <c:v>0.85499999999999998</c:v>
                </c:pt>
                <c:pt idx="25">
                  <c:v>0.85499999999999998</c:v>
                </c:pt>
                <c:pt idx="26">
                  <c:v>0.85499999999999998</c:v>
                </c:pt>
                <c:pt idx="27">
                  <c:v>0.85499999999999998</c:v>
                </c:pt>
                <c:pt idx="28">
                  <c:v>0.85499999999999998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'Cog-Fail_rf'!$A$9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'Cog-Fail_rf'!$B$9:$AD$9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2.9411764705882353E-2</c:v>
                </c:pt>
                <c:pt idx="5">
                  <c:v>2.9411764705882353E-2</c:v>
                </c:pt>
                <c:pt idx="6">
                  <c:v>0.20588235294117646</c:v>
                </c:pt>
                <c:pt idx="7">
                  <c:v>0.12121212121212122</c:v>
                </c:pt>
                <c:pt idx="8">
                  <c:v>0.44117647058823528</c:v>
                </c:pt>
                <c:pt idx="9">
                  <c:v>0.41176470588235292</c:v>
                </c:pt>
                <c:pt idx="10">
                  <c:v>0.41176470588235292</c:v>
                </c:pt>
                <c:pt idx="11">
                  <c:v>0.41176470588235292</c:v>
                </c:pt>
                <c:pt idx="12">
                  <c:v>0.58333333333333337</c:v>
                </c:pt>
                <c:pt idx="13">
                  <c:v>0.41176470588235292</c:v>
                </c:pt>
                <c:pt idx="14">
                  <c:v>0.23529411764705882</c:v>
                </c:pt>
                <c:pt idx="15">
                  <c:v>0.23529411764705882</c:v>
                </c:pt>
                <c:pt idx="16">
                  <c:v>0.26470588235294118</c:v>
                </c:pt>
                <c:pt idx="17">
                  <c:v>0.26470588235294118</c:v>
                </c:pt>
                <c:pt idx="18">
                  <c:v>0.26470588235294118</c:v>
                </c:pt>
                <c:pt idx="19">
                  <c:v>0.29411764705882354</c:v>
                </c:pt>
                <c:pt idx="20">
                  <c:v>0.3235294117647059</c:v>
                </c:pt>
                <c:pt idx="21">
                  <c:v>0.31428571428571428</c:v>
                </c:pt>
                <c:pt idx="22">
                  <c:v>0.3235294117647059</c:v>
                </c:pt>
                <c:pt idx="23">
                  <c:v>0.3235294117647059</c:v>
                </c:pt>
                <c:pt idx="24">
                  <c:v>0.3235294117647059</c:v>
                </c:pt>
                <c:pt idx="25">
                  <c:v>0.3235294117647059</c:v>
                </c:pt>
                <c:pt idx="26">
                  <c:v>0.3235294117647059</c:v>
                </c:pt>
                <c:pt idx="27">
                  <c:v>0.3235294117647059</c:v>
                </c:pt>
                <c:pt idx="28">
                  <c:v>0.3235294117647059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'Cog-Fail_rf'!$A$10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'Cog-Fail_rf'!$B$10:$AD$10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0.33333333333333331</c:v>
                </c:pt>
                <c:pt idx="6">
                  <c:v>0.5</c:v>
                </c:pt>
                <c:pt idx="7">
                  <c:v>0.33333333333333331</c:v>
                </c:pt>
                <c:pt idx="8">
                  <c:v>0.57692307692307687</c:v>
                </c:pt>
                <c:pt idx="9">
                  <c:v>0.53846153846153844</c:v>
                </c:pt>
                <c:pt idx="10">
                  <c:v>0.53846153846153844</c:v>
                </c:pt>
                <c:pt idx="11">
                  <c:v>0.56000000000000005</c:v>
                </c:pt>
                <c:pt idx="12">
                  <c:v>0.58333333333333337</c:v>
                </c:pt>
                <c:pt idx="13">
                  <c:v>0.58333333333333337</c:v>
                </c:pt>
                <c:pt idx="14">
                  <c:v>0.88888888888888884</c:v>
                </c:pt>
                <c:pt idx="15">
                  <c:v>0.72727272727272729</c:v>
                </c:pt>
                <c:pt idx="16">
                  <c:v>0.69230769230769229</c:v>
                </c:pt>
                <c:pt idx="17">
                  <c:v>0.69230769230769229</c:v>
                </c:pt>
                <c:pt idx="18">
                  <c:v>0.6</c:v>
                </c:pt>
                <c:pt idx="19">
                  <c:v>0.625</c:v>
                </c:pt>
                <c:pt idx="20">
                  <c:v>0.61111111111111116</c:v>
                </c:pt>
                <c:pt idx="21">
                  <c:v>0.6470588235294118</c:v>
                </c:pt>
                <c:pt idx="22">
                  <c:v>0.6470588235294118</c:v>
                </c:pt>
                <c:pt idx="23">
                  <c:v>0.6470588235294118</c:v>
                </c:pt>
                <c:pt idx="24">
                  <c:v>0.6470588235294118</c:v>
                </c:pt>
                <c:pt idx="25">
                  <c:v>0.6470588235294118</c:v>
                </c:pt>
                <c:pt idx="26">
                  <c:v>0.6470588235294118</c:v>
                </c:pt>
                <c:pt idx="27">
                  <c:v>0.6470588235294118</c:v>
                </c:pt>
                <c:pt idx="28">
                  <c:v>0.6470588235294118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'Cog-Fail_rf'!$A$1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'Cog-Fail_rf'!$B$1:$AD$1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7</c:v>
                      </c:pt>
                      <c:pt idx="7">
                        <c:v>4</c:v>
                      </c:pt>
                      <c:pt idx="8">
                        <c:v>15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11</c:v>
                      </c:pt>
                      <c:pt idx="24">
                        <c:v>11</c:v>
                      </c:pt>
                      <c:pt idx="25">
                        <c:v>11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33</c:v>
                      </c:pt>
                      <c:pt idx="5">
                        <c:v>33</c:v>
                      </c:pt>
                      <c:pt idx="6">
                        <c:v>27</c:v>
                      </c:pt>
                      <c:pt idx="7">
                        <c:v>29</c:v>
                      </c:pt>
                      <c:pt idx="8">
                        <c:v>19</c:v>
                      </c:pt>
                      <c:pt idx="9">
                        <c:v>20</c:v>
                      </c:pt>
                      <c:pt idx="10">
                        <c:v>20</c:v>
                      </c:pt>
                      <c:pt idx="11">
                        <c:v>20</c:v>
                      </c:pt>
                      <c:pt idx="12">
                        <c:v>10</c:v>
                      </c:pt>
                      <c:pt idx="13">
                        <c:v>20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25</c:v>
                      </c:pt>
                      <c:pt idx="17">
                        <c:v>25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23</c:v>
                      </c:pt>
                      <c:pt idx="21">
                        <c:v>24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23</c:v>
                      </c:pt>
                      <c:pt idx="25">
                        <c:v>23</c:v>
                      </c:pt>
                      <c:pt idx="26">
                        <c:v>23</c:v>
                      </c:pt>
                      <c:pt idx="27">
                        <c:v>23</c:v>
                      </c:pt>
                      <c:pt idx="28">
                        <c:v>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11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11</c:v>
                      </c:pt>
                      <c:pt idx="12">
                        <c:v>10</c:v>
                      </c:pt>
                      <c:pt idx="13">
                        <c:v>10</c:v>
                      </c:pt>
                      <c:pt idx="14">
                        <c:v>1</c:v>
                      </c:pt>
                      <c:pt idx="15">
                        <c:v>3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164</c:v>
                      </c:pt>
                      <c:pt idx="6">
                        <c:v>159</c:v>
                      </c:pt>
                      <c:pt idx="7">
                        <c:v>159</c:v>
                      </c:pt>
                      <c:pt idx="8">
                        <c:v>155</c:v>
                      </c:pt>
                      <c:pt idx="9">
                        <c:v>154</c:v>
                      </c:pt>
                      <c:pt idx="10">
                        <c:v>154</c:v>
                      </c:pt>
                      <c:pt idx="11">
                        <c:v>155</c:v>
                      </c:pt>
                      <c:pt idx="12">
                        <c:v>166</c:v>
                      </c:pt>
                      <c:pt idx="13">
                        <c:v>156</c:v>
                      </c:pt>
                      <c:pt idx="14">
                        <c:v>165</c:v>
                      </c:pt>
                      <c:pt idx="15">
                        <c:v>163</c:v>
                      </c:pt>
                      <c:pt idx="16">
                        <c:v>162</c:v>
                      </c:pt>
                      <c:pt idx="17">
                        <c:v>162</c:v>
                      </c:pt>
                      <c:pt idx="18">
                        <c:v>160</c:v>
                      </c:pt>
                      <c:pt idx="19">
                        <c:v>160</c:v>
                      </c:pt>
                      <c:pt idx="20">
                        <c:v>159</c:v>
                      </c:pt>
                      <c:pt idx="21">
                        <c:v>159</c:v>
                      </c:pt>
                      <c:pt idx="22">
                        <c:v>160</c:v>
                      </c:pt>
                      <c:pt idx="23">
                        <c:v>160</c:v>
                      </c:pt>
                      <c:pt idx="24">
                        <c:v>160</c:v>
                      </c:pt>
                      <c:pt idx="25">
                        <c:v>160</c:v>
                      </c:pt>
                      <c:pt idx="26">
                        <c:v>160</c:v>
                      </c:pt>
                      <c:pt idx="27">
                        <c:v>160</c:v>
                      </c:pt>
                      <c:pt idx="28">
                        <c:v>160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0.16500000000000004</c:v>
                      </c:pt>
                      <c:pt idx="5">
                        <c:v>0.17500000000000004</c:v>
                      </c:pt>
                      <c:pt idx="6">
                        <c:v>0.17000000000000004</c:v>
                      </c:pt>
                      <c:pt idx="7">
                        <c:v>0.18500000000000005</c:v>
                      </c:pt>
                      <c:pt idx="8">
                        <c:v>0.15000000000000002</c:v>
                      </c:pt>
                      <c:pt idx="9">
                        <c:v>0.16000000000000003</c:v>
                      </c:pt>
                      <c:pt idx="10">
                        <c:v>0.16000000000000003</c:v>
                      </c:pt>
                      <c:pt idx="11">
                        <c:v>0.15500000000000003</c:v>
                      </c:pt>
                      <c:pt idx="12">
                        <c:v>9.9999999999999978E-2</c:v>
                      </c:pt>
                      <c:pt idx="13">
                        <c:v>0.15000000000000002</c:v>
                      </c:pt>
                      <c:pt idx="14">
                        <c:v>0.13500000000000001</c:v>
                      </c:pt>
                      <c:pt idx="15">
                        <c:v>0.14500000000000002</c:v>
                      </c:pt>
                      <c:pt idx="16">
                        <c:v>0.14500000000000002</c:v>
                      </c:pt>
                      <c:pt idx="17">
                        <c:v>0.14500000000000002</c:v>
                      </c:pt>
                      <c:pt idx="18">
                        <c:v>0.15500000000000003</c:v>
                      </c:pt>
                      <c:pt idx="19">
                        <c:v>0.15000000000000002</c:v>
                      </c:pt>
                      <c:pt idx="20">
                        <c:v>0.15000000000000002</c:v>
                      </c:pt>
                      <c:pt idx="21">
                        <c:v>0.15000000000000002</c:v>
                      </c:pt>
                      <c:pt idx="22">
                        <c:v>0.14500000000000002</c:v>
                      </c:pt>
                      <c:pt idx="23">
                        <c:v>0.14500000000000002</c:v>
                      </c:pt>
                      <c:pt idx="24">
                        <c:v>0.14500000000000002</c:v>
                      </c:pt>
                      <c:pt idx="25">
                        <c:v>0.14500000000000002</c:v>
                      </c:pt>
                      <c:pt idx="26">
                        <c:v>0.14500000000000002</c:v>
                      </c:pt>
                      <c:pt idx="27">
                        <c:v>0.14500000000000002</c:v>
                      </c:pt>
                      <c:pt idx="28">
                        <c:v>0.14500000000000002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'Cog-Fail_rf'!$A$11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'Cog-Fail_rf'!$B$11:$AD$11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5.7142857142857148E-2</c:v>
                      </c:pt>
                      <c:pt idx="5">
                        <c:v>5.4054054054054057E-2</c:v>
                      </c:pt>
                      <c:pt idx="6">
                        <c:v>0.29166666666666669</c:v>
                      </c:pt>
                      <c:pt idx="7">
                        <c:v>0.17777777777777776</c:v>
                      </c:pt>
                      <c:pt idx="8">
                        <c:v>0.5</c:v>
                      </c:pt>
                      <c:pt idx="9">
                        <c:v>0.46666666666666667</c:v>
                      </c:pt>
                      <c:pt idx="10">
                        <c:v>0.46666666666666667</c:v>
                      </c:pt>
                      <c:pt idx="11">
                        <c:v>0.47457627118644069</c:v>
                      </c:pt>
                      <c:pt idx="12">
                        <c:v>0.58333333333333337</c:v>
                      </c:pt>
                      <c:pt idx="13">
                        <c:v>0.48275862068965519</c:v>
                      </c:pt>
                      <c:pt idx="14">
                        <c:v>0.37209302325581389</c:v>
                      </c:pt>
                      <c:pt idx="15">
                        <c:v>0.35555555555555551</c:v>
                      </c:pt>
                      <c:pt idx="16">
                        <c:v>0.38297872340425532</c:v>
                      </c:pt>
                      <c:pt idx="17">
                        <c:v>0.38297872340425532</c:v>
                      </c:pt>
                      <c:pt idx="18">
                        <c:v>0.36734693877551017</c:v>
                      </c:pt>
                      <c:pt idx="19">
                        <c:v>0.4</c:v>
                      </c:pt>
                      <c:pt idx="20">
                        <c:v>0.42307692307692313</c:v>
                      </c:pt>
                      <c:pt idx="21">
                        <c:v>0.42307692307692307</c:v>
                      </c:pt>
                      <c:pt idx="22">
                        <c:v>0.43137254901960781</c:v>
                      </c:pt>
                      <c:pt idx="23">
                        <c:v>0.43137254901960781</c:v>
                      </c:pt>
                      <c:pt idx="24">
                        <c:v>0.43137254901960781</c:v>
                      </c:pt>
                      <c:pt idx="25">
                        <c:v>0.43137254901960781</c:v>
                      </c:pt>
                      <c:pt idx="26">
                        <c:v>0.43137254901960781</c:v>
                      </c:pt>
                      <c:pt idx="27">
                        <c:v>0.43137254901960781</c:v>
                      </c:pt>
                      <c:pt idx="28">
                        <c:v>0.43137254901960781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CE2-433F-8480-6EF6029FDEC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'Cog-Fail_rf'!$A$12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'Cog-Fail_rf'!$B$12:$AD$12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0.98795180722891562</c:v>
                      </c:pt>
                      <c:pt idx="6">
                        <c:v>0.95783132530120485</c:v>
                      </c:pt>
                      <c:pt idx="7">
                        <c:v>0.95209580838323349</c:v>
                      </c:pt>
                      <c:pt idx="8">
                        <c:v>0.9337349397590361</c:v>
                      </c:pt>
                      <c:pt idx="9">
                        <c:v>0.92771084337349397</c:v>
                      </c:pt>
                      <c:pt idx="10">
                        <c:v>0.92771084337349397</c:v>
                      </c:pt>
                      <c:pt idx="11">
                        <c:v>0.9337349397590361</c:v>
                      </c:pt>
                      <c:pt idx="12">
                        <c:v>0.94318181818181823</c:v>
                      </c:pt>
                      <c:pt idx="13">
                        <c:v>0.93975903614457834</c:v>
                      </c:pt>
                      <c:pt idx="14">
                        <c:v>0.99397590361445787</c:v>
                      </c:pt>
                      <c:pt idx="15">
                        <c:v>0.98192771084337349</c:v>
                      </c:pt>
                      <c:pt idx="16">
                        <c:v>0.97590361445783136</c:v>
                      </c:pt>
                      <c:pt idx="17">
                        <c:v>0.97590361445783136</c:v>
                      </c:pt>
                      <c:pt idx="18">
                        <c:v>0.96385542168674698</c:v>
                      </c:pt>
                      <c:pt idx="19">
                        <c:v>0.96385542168674698</c:v>
                      </c:pt>
                      <c:pt idx="20">
                        <c:v>0.95783132530120485</c:v>
                      </c:pt>
                      <c:pt idx="21">
                        <c:v>0.96363636363636362</c:v>
                      </c:pt>
                      <c:pt idx="22">
                        <c:v>0.96385542168674698</c:v>
                      </c:pt>
                      <c:pt idx="23">
                        <c:v>0.96385542168674698</c:v>
                      </c:pt>
                      <c:pt idx="24">
                        <c:v>0.96385542168674698</c:v>
                      </c:pt>
                      <c:pt idx="25">
                        <c:v>0.96385542168674698</c:v>
                      </c:pt>
                      <c:pt idx="26">
                        <c:v>0.96385542168674698</c:v>
                      </c:pt>
                      <c:pt idx="27">
                        <c:v>0.96385542168674698</c:v>
                      </c:pt>
                      <c:pt idx="28">
                        <c:v>0.96385542168674698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30" zoomScaleNormal="130" workbookViewId="0">
      <selection activeCell="AF17" sqref="AF17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88</v>
      </c>
      <c r="C2" s="1">
        <v>88</v>
      </c>
      <c r="D2" s="1">
        <v>88</v>
      </c>
      <c r="E2" s="1">
        <v>88</v>
      </c>
      <c r="F2" s="1">
        <v>88</v>
      </c>
      <c r="G2" s="1">
        <v>88</v>
      </c>
      <c r="H2" s="1">
        <v>87</v>
      </c>
      <c r="I2" s="1">
        <v>87</v>
      </c>
      <c r="J2" s="1">
        <v>89</v>
      </c>
      <c r="K2" s="1">
        <v>88</v>
      </c>
      <c r="L2" s="1">
        <v>89</v>
      </c>
      <c r="M2" s="1">
        <v>89</v>
      </c>
      <c r="N2" s="1">
        <v>89</v>
      </c>
      <c r="O2" s="1">
        <v>90</v>
      </c>
      <c r="P2" s="1">
        <v>93</v>
      </c>
      <c r="Q2" s="1">
        <v>92</v>
      </c>
      <c r="R2" s="1">
        <v>92</v>
      </c>
      <c r="S2" s="1">
        <v>92</v>
      </c>
      <c r="T2" s="1">
        <v>91</v>
      </c>
      <c r="U2" s="1">
        <v>91</v>
      </c>
      <c r="V2" s="1">
        <v>92</v>
      </c>
      <c r="W2" s="1">
        <v>92</v>
      </c>
      <c r="X2" s="1">
        <v>92</v>
      </c>
      <c r="Y2" s="1">
        <v>92</v>
      </c>
      <c r="Z2" s="1">
        <v>92</v>
      </c>
      <c r="AA2" s="1">
        <v>92</v>
      </c>
      <c r="AB2" s="1">
        <v>92</v>
      </c>
      <c r="AC2" s="1">
        <v>92</v>
      </c>
      <c r="AD2" s="1">
        <v>92</v>
      </c>
    </row>
    <row r="3" spans="1:30" x14ac:dyDescent="0.25">
      <c r="A3" t="s">
        <v>10</v>
      </c>
      <c r="B3" s="1">
        <v>6</v>
      </c>
      <c r="C3" s="1">
        <v>6</v>
      </c>
      <c r="D3" s="1">
        <v>6</v>
      </c>
      <c r="E3" s="1">
        <v>6</v>
      </c>
      <c r="F3" s="1">
        <v>6</v>
      </c>
      <c r="G3" s="1">
        <v>6</v>
      </c>
      <c r="H3" s="1">
        <v>7</v>
      </c>
      <c r="I3" s="1">
        <v>7</v>
      </c>
      <c r="J3" s="1">
        <v>5</v>
      </c>
      <c r="K3" s="1">
        <v>6</v>
      </c>
      <c r="L3" s="1">
        <v>5</v>
      </c>
      <c r="M3" s="1">
        <v>5</v>
      </c>
      <c r="N3" s="1">
        <v>5</v>
      </c>
      <c r="O3" s="1">
        <v>4</v>
      </c>
      <c r="P3" s="1">
        <v>1</v>
      </c>
      <c r="Q3" s="1">
        <v>2</v>
      </c>
      <c r="R3" s="1">
        <v>2</v>
      </c>
      <c r="S3" s="1">
        <v>2</v>
      </c>
      <c r="T3" s="1">
        <v>3</v>
      </c>
      <c r="U3" s="1">
        <v>3</v>
      </c>
      <c r="V3" s="1">
        <v>2</v>
      </c>
      <c r="W3" s="1">
        <v>2</v>
      </c>
      <c r="X3" s="1">
        <v>2</v>
      </c>
      <c r="Y3" s="1">
        <v>2</v>
      </c>
      <c r="Z3" s="1">
        <v>2</v>
      </c>
      <c r="AA3" s="1">
        <v>2</v>
      </c>
      <c r="AB3" s="1">
        <v>2</v>
      </c>
      <c r="AC3" s="1">
        <v>2</v>
      </c>
      <c r="AD3" s="1">
        <v>2</v>
      </c>
    </row>
    <row r="4" spans="1:30" x14ac:dyDescent="0.25">
      <c r="A4" t="s">
        <v>11</v>
      </c>
      <c r="B4" s="1">
        <v>10</v>
      </c>
      <c r="C4" s="1">
        <v>10</v>
      </c>
      <c r="D4" s="1">
        <v>10</v>
      </c>
      <c r="E4" s="1">
        <v>10</v>
      </c>
      <c r="F4" s="1">
        <v>10</v>
      </c>
      <c r="G4" s="1">
        <v>10</v>
      </c>
      <c r="H4" s="1">
        <v>12</v>
      </c>
      <c r="I4" s="1">
        <v>14</v>
      </c>
      <c r="J4" s="1">
        <v>12</v>
      </c>
      <c r="K4" s="1">
        <v>13</v>
      </c>
      <c r="L4" s="1">
        <v>13</v>
      </c>
      <c r="M4" s="1">
        <v>13</v>
      </c>
      <c r="N4" s="1">
        <v>11</v>
      </c>
      <c r="O4" s="1">
        <v>12</v>
      </c>
      <c r="P4" s="1">
        <v>15</v>
      </c>
      <c r="Q4" s="1">
        <v>15</v>
      </c>
      <c r="R4" s="1">
        <v>14</v>
      </c>
      <c r="S4" s="1">
        <v>14</v>
      </c>
      <c r="T4" s="1">
        <v>12</v>
      </c>
      <c r="U4" s="1">
        <v>11</v>
      </c>
      <c r="V4" s="1">
        <v>11</v>
      </c>
      <c r="W4" s="1">
        <v>11</v>
      </c>
      <c r="X4" s="1">
        <v>12</v>
      </c>
      <c r="Y4" s="1">
        <v>12</v>
      </c>
      <c r="Z4" s="1">
        <v>12</v>
      </c>
      <c r="AA4" s="1">
        <v>12</v>
      </c>
      <c r="AB4" s="1">
        <v>12</v>
      </c>
      <c r="AC4" s="1">
        <v>12</v>
      </c>
      <c r="AD4" s="1">
        <v>11</v>
      </c>
    </row>
    <row r="5" spans="1:30" x14ac:dyDescent="0.25">
      <c r="A5" t="s">
        <v>12</v>
      </c>
      <c r="B5" s="1">
        <f t="shared" ref="B5:G5" si="0">200-B2-B3-B4</f>
        <v>96</v>
      </c>
      <c r="C5" s="1">
        <f t="shared" si="0"/>
        <v>96</v>
      </c>
      <c r="D5" s="1">
        <f t="shared" si="0"/>
        <v>96</v>
      </c>
      <c r="E5" s="1">
        <f t="shared" si="0"/>
        <v>96</v>
      </c>
      <c r="F5" s="1">
        <f t="shared" si="0"/>
        <v>96</v>
      </c>
      <c r="G5" s="1">
        <f t="shared" si="0"/>
        <v>96</v>
      </c>
      <c r="H5" s="1">
        <f>200-H2-H3-H4</f>
        <v>94</v>
      </c>
      <c r="I5" s="1">
        <f t="shared" ref="I5:AD5" si="1">200-I2-I3-I4</f>
        <v>92</v>
      </c>
      <c r="J5" s="1">
        <f t="shared" si="1"/>
        <v>94</v>
      </c>
      <c r="K5" s="1">
        <f t="shared" si="1"/>
        <v>93</v>
      </c>
      <c r="L5" s="1">
        <f t="shared" si="1"/>
        <v>93</v>
      </c>
      <c r="M5" s="1">
        <f t="shared" si="1"/>
        <v>93</v>
      </c>
      <c r="N5" s="1">
        <f t="shared" si="1"/>
        <v>95</v>
      </c>
      <c r="O5" s="1">
        <f t="shared" si="1"/>
        <v>94</v>
      </c>
      <c r="P5" s="1">
        <f t="shared" si="1"/>
        <v>91</v>
      </c>
      <c r="Q5" s="1">
        <f t="shared" si="1"/>
        <v>91</v>
      </c>
      <c r="R5" s="1">
        <f t="shared" si="1"/>
        <v>92</v>
      </c>
      <c r="S5" s="1">
        <f t="shared" si="1"/>
        <v>92</v>
      </c>
      <c r="T5" s="1">
        <f>200-T2-T3-T4</f>
        <v>94</v>
      </c>
      <c r="U5" s="1">
        <f t="shared" si="1"/>
        <v>95</v>
      </c>
      <c r="V5" s="1">
        <f t="shared" si="1"/>
        <v>95</v>
      </c>
      <c r="W5" s="1">
        <f t="shared" si="1"/>
        <v>95</v>
      </c>
      <c r="X5" s="1">
        <f t="shared" si="1"/>
        <v>94</v>
      </c>
      <c r="Y5" s="1">
        <f t="shared" si="1"/>
        <v>94</v>
      </c>
      <c r="Z5" s="1">
        <f t="shared" si="1"/>
        <v>94</v>
      </c>
      <c r="AA5" s="1">
        <f>200-AA2-AA3-AA4</f>
        <v>94</v>
      </c>
      <c r="AB5" s="1">
        <f t="shared" si="1"/>
        <v>94</v>
      </c>
      <c r="AC5" s="1">
        <f t="shared" si="1"/>
        <v>94</v>
      </c>
      <c r="AD5" s="1">
        <f t="shared" si="1"/>
        <v>95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0.92</v>
      </c>
      <c r="C7" s="1">
        <f t="shared" ref="C7:AD7" si="3">(C5+C2)/C6</f>
        <v>0.92</v>
      </c>
      <c r="D7" s="1">
        <f t="shared" si="3"/>
        <v>0.92</v>
      </c>
      <c r="E7" s="1">
        <f t="shared" si="3"/>
        <v>0.92</v>
      </c>
      <c r="F7" s="1">
        <f t="shared" si="3"/>
        <v>0.92</v>
      </c>
      <c r="G7" s="1">
        <f t="shared" si="3"/>
        <v>0.92</v>
      </c>
      <c r="H7" s="1">
        <f t="shared" si="3"/>
        <v>0.90500000000000003</v>
      </c>
      <c r="I7" s="1">
        <f t="shared" si="3"/>
        <v>0.89500000000000002</v>
      </c>
      <c r="J7" s="1">
        <f t="shared" si="3"/>
        <v>0.91500000000000004</v>
      </c>
      <c r="K7" s="3">
        <f t="shared" si="3"/>
        <v>0.90500000000000003</v>
      </c>
      <c r="L7" s="1">
        <f t="shared" si="3"/>
        <v>0.91</v>
      </c>
      <c r="M7" s="1">
        <f t="shared" si="3"/>
        <v>0.91</v>
      </c>
      <c r="N7" s="1">
        <f t="shared" si="3"/>
        <v>0.92</v>
      </c>
      <c r="O7" s="1">
        <f t="shared" si="3"/>
        <v>0.92</v>
      </c>
      <c r="P7" s="1">
        <f t="shared" si="3"/>
        <v>0.92</v>
      </c>
      <c r="Q7" s="1">
        <f t="shared" si="3"/>
        <v>0.91500000000000004</v>
      </c>
      <c r="R7" s="1">
        <f t="shared" si="3"/>
        <v>0.92</v>
      </c>
      <c r="S7" s="1">
        <f t="shared" si="3"/>
        <v>0.92</v>
      </c>
      <c r="T7" s="1">
        <f t="shared" si="3"/>
        <v>0.92500000000000004</v>
      </c>
      <c r="U7" s="1">
        <f t="shared" si="3"/>
        <v>0.93</v>
      </c>
      <c r="V7" s="1">
        <f t="shared" si="3"/>
        <v>0.93500000000000005</v>
      </c>
      <c r="W7" s="1">
        <f t="shared" si="3"/>
        <v>0.93500000000000005</v>
      </c>
      <c r="X7" s="1">
        <f t="shared" si="3"/>
        <v>0.93</v>
      </c>
      <c r="Y7" s="1">
        <f t="shared" si="3"/>
        <v>0.93</v>
      </c>
      <c r="Z7" s="1">
        <f t="shared" si="3"/>
        <v>0.93</v>
      </c>
      <c r="AA7" s="1">
        <f t="shared" si="3"/>
        <v>0.93</v>
      </c>
      <c r="AB7" s="1">
        <f t="shared" si="3"/>
        <v>0.93</v>
      </c>
      <c r="AC7" s="1">
        <f t="shared" si="3"/>
        <v>0.93</v>
      </c>
      <c r="AD7" s="3">
        <f t="shared" si="3"/>
        <v>0.93500000000000005</v>
      </c>
    </row>
    <row r="8" spans="1:30" x14ac:dyDescent="0.25">
      <c r="A8" t="s">
        <v>1</v>
      </c>
      <c r="B8" s="1">
        <f>1-B7</f>
        <v>7.999999999999996E-2</v>
      </c>
      <c r="C8" s="1">
        <f t="shared" ref="C8:AD8" si="4">1-C7</f>
        <v>7.999999999999996E-2</v>
      </c>
      <c r="D8" s="1">
        <f t="shared" si="4"/>
        <v>7.999999999999996E-2</v>
      </c>
      <c r="E8" s="1">
        <f t="shared" si="4"/>
        <v>7.999999999999996E-2</v>
      </c>
      <c r="F8" s="1">
        <f t="shared" si="4"/>
        <v>7.999999999999996E-2</v>
      </c>
      <c r="G8" s="1">
        <f t="shared" si="4"/>
        <v>7.999999999999996E-2</v>
      </c>
      <c r="H8" s="1">
        <f t="shared" si="4"/>
        <v>9.4999999999999973E-2</v>
      </c>
      <c r="I8" s="1">
        <f t="shared" si="4"/>
        <v>0.10499999999999998</v>
      </c>
      <c r="J8" s="1">
        <f t="shared" si="4"/>
        <v>8.4999999999999964E-2</v>
      </c>
      <c r="K8" s="3">
        <f t="shared" si="4"/>
        <v>9.4999999999999973E-2</v>
      </c>
      <c r="L8" s="1">
        <f t="shared" si="4"/>
        <v>8.9999999999999969E-2</v>
      </c>
      <c r="M8" s="1">
        <f t="shared" si="4"/>
        <v>8.9999999999999969E-2</v>
      </c>
      <c r="N8" s="1">
        <f t="shared" si="4"/>
        <v>7.999999999999996E-2</v>
      </c>
      <c r="O8" s="1">
        <f t="shared" si="4"/>
        <v>7.999999999999996E-2</v>
      </c>
      <c r="P8" s="1">
        <f t="shared" si="4"/>
        <v>7.999999999999996E-2</v>
      </c>
      <c r="Q8" s="1">
        <f t="shared" si="4"/>
        <v>8.4999999999999964E-2</v>
      </c>
      <c r="R8" s="1">
        <f t="shared" si="4"/>
        <v>7.999999999999996E-2</v>
      </c>
      <c r="S8" s="1">
        <f t="shared" si="4"/>
        <v>7.999999999999996E-2</v>
      </c>
      <c r="T8" s="1">
        <f t="shared" si="4"/>
        <v>7.4999999999999956E-2</v>
      </c>
      <c r="U8" s="1">
        <f t="shared" si="4"/>
        <v>6.9999999999999951E-2</v>
      </c>
      <c r="V8" s="1">
        <f t="shared" si="4"/>
        <v>6.4999999999999947E-2</v>
      </c>
      <c r="W8" s="1">
        <f t="shared" si="4"/>
        <v>6.4999999999999947E-2</v>
      </c>
      <c r="X8" s="1">
        <f t="shared" si="4"/>
        <v>6.9999999999999951E-2</v>
      </c>
      <c r="Y8" s="1">
        <f t="shared" si="4"/>
        <v>6.9999999999999951E-2</v>
      </c>
      <c r="Z8" s="1">
        <f t="shared" si="4"/>
        <v>6.9999999999999951E-2</v>
      </c>
      <c r="AA8" s="1">
        <f t="shared" si="4"/>
        <v>6.9999999999999951E-2</v>
      </c>
      <c r="AB8" s="1">
        <f t="shared" si="4"/>
        <v>6.9999999999999951E-2</v>
      </c>
      <c r="AC8" s="1">
        <f t="shared" si="4"/>
        <v>6.9999999999999951E-2</v>
      </c>
      <c r="AD8" s="3">
        <f t="shared" si="4"/>
        <v>6.4999999999999947E-2</v>
      </c>
    </row>
    <row r="9" spans="1:30" x14ac:dyDescent="0.25">
      <c r="A9" t="s">
        <v>24</v>
      </c>
      <c r="B9" s="1">
        <f>B2/(B2+B3)</f>
        <v>0.93617021276595747</v>
      </c>
      <c r="C9" s="1">
        <f t="shared" ref="C9:AD9" si="5">C2/(C2+C3)</f>
        <v>0.93617021276595747</v>
      </c>
      <c r="D9" s="1">
        <f t="shared" si="5"/>
        <v>0.93617021276595747</v>
      </c>
      <c r="E9" s="1">
        <f t="shared" si="5"/>
        <v>0.93617021276595747</v>
      </c>
      <c r="F9" s="1">
        <f t="shared" si="5"/>
        <v>0.93617021276595747</v>
      </c>
      <c r="G9" s="1">
        <f t="shared" si="5"/>
        <v>0.93617021276595747</v>
      </c>
      <c r="H9" s="1">
        <f t="shared" si="5"/>
        <v>0.92553191489361697</v>
      </c>
      <c r="I9" s="1">
        <f t="shared" si="5"/>
        <v>0.92553191489361697</v>
      </c>
      <c r="J9" s="1">
        <f t="shared" si="5"/>
        <v>0.94680851063829785</v>
      </c>
      <c r="K9" s="3">
        <f t="shared" si="5"/>
        <v>0.93617021276595747</v>
      </c>
      <c r="L9" s="1">
        <f t="shared" si="5"/>
        <v>0.94680851063829785</v>
      </c>
      <c r="M9" s="1">
        <f t="shared" si="5"/>
        <v>0.94680851063829785</v>
      </c>
      <c r="N9" s="1">
        <f t="shared" si="5"/>
        <v>0.94680851063829785</v>
      </c>
      <c r="O9" s="1">
        <f t="shared" si="5"/>
        <v>0.95744680851063835</v>
      </c>
      <c r="P9" s="1">
        <f t="shared" si="5"/>
        <v>0.98936170212765961</v>
      </c>
      <c r="Q9" s="1">
        <f t="shared" si="5"/>
        <v>0.97872340425531912</v>
      </c>
      <c r="R9" s="1">
        <f t="shared" si="5"/>
        <v>0.97872340425531912</v>
      </c>
      <c r="S9" s="1">
        <f t="shared" si="5"/>
        <v>0.97872340425531912</v>
      </c>
      <c r="T9" s="1">
        <f t="shared" si="5"/>
        <v>0.96808510638297873</v>
      </c>
      <c r="U9" s="1">
        <f t="shared" si="5"/>
        <v>0.96808510638297873</v>
      </c>
      <c r="V9" s="1">
        <f t="shared" si="5"/>
        <v>0.97872340425531912</v>
      </c>
      <c r="W9" s="1">
        <f t="shared" si="5"/>
        <v>0.97872340425531912</v>
      </c>
      <c r="X9" s="1">
        <f t="shared" si="5"/>
        <v>0.97872340425531912</v>
      </c>
      <c r="Y9" s="1">
        <f t="shared" si="5"/>
        <v>0.97872340425531912</v>
      </c>
      <c r="Z9" s="1">
        <f t="shared" si="5"/>
        <v>0.97872340425531912</v>
      </c>
      <c r="AA9" s="1">
        <f t="shared" si="5"/>
        <v>0.97872340425531912</v>
      </c>
      <c r="AB9" s="1">
        <f t="shared" si="5"/>
        <v>0.97872340425531912</v>
      </c>
      <c r="AC9" s="1">
        <f t="shared" si="5"/>
        <v>0.97872340425531912</v>
      </c>
      <c r="AD9" s="3">
        <f t="shared" si="5"/>
        <v>0.97872340425531912</v>
      </c>
    </row>
    <row r="10" spans="1:30" x14ac:dyDescent="0.25">
      <c r="A10" t="s">
        <v>23</v>
      </c>
      <c r="B10" s="1">
        <f>B2/(B2+B4)</f>
        <v>0.89795918367346939</v>
      </c>
      <c r="C10" s="1">
        <f t="shared" ref="C10:AD10" si="6">C2/(C2+C4)</f>
        <v>0.89795918367346939</v>
      </c>
      <c r="D10" s="1">
        <f t="shared" si="6"/>
        <v>0.89795918367346939</v>
      </c>
      <c r="E10" s="1">
        <f t="shared" si="6"/>
        <v>0.89795918367346939</v>
      </c>
      <c r="F10" s="1">
        <f t="shared" si="6"/>
        <v>0.89795918367346939</v>
      </c>
      <c r="G10" s="1">
        <f t="shared" si="6"/>
        <v>0.89795918367346939</v>
      </c>
      <c r="H10" s="1">
        <f t="shared" si="6"/>
        <v>0.87878787878787878</v>
      </c>
      <c r="I10" s="1">
        <f t="shared" si="6"/>
        <v>0.86138613861386137</v>
      </c>
      <c r="J10" s="1">
        <f t="shared" si="6"/>
        <v>0.88118811881188119</v>
      </c>
      <c r="K10" s="3">
        <f t="shared" si="6"/>
        <v>0.87128712871287128</v>
      </c>
      <c r="L10" s="1">
        <f t="shared" si="6"/>
        <v>0.87254901960784315</v>
      </c>
      <c r="M10" s="1">
        <f t="shared" si="6"/>
        <v>0.87254901960784315</v>
      </c>
      <c r="N10" s="1">
        <f t="shared" si="6"/>
        <v>0.89</v>
      </c>
      <c r="O10" s="1">
        <f t="shared" si="6"/>
        <v>0.88235294117647056</v>
      </c>
      <c r="P10" s="1">
        <f t="shared" si="6"/>
        <v>0.86111111111111116</v>
      </c>
      <c r="Q10" s="1">
        <f t="shared" si="6"/>
        <v>0.85981308411214952</v>
      </c>
      <c r="R10" s="1">
        <f t="shared" si="6"/>
        <v>0.86792452830188682</v>
      </c>
      <c r="S10" s="1">
        <f t="shared" si="6"/>
        <v>0.86792452830188682</v>
      </c>
      <c r="T10" s="1">
        <f t="shared" si="6"/>
        <v>0.88349514563106801</v>
      </c>
      <c r="U10" s="1">
        <f t="shared" si="6"/>
        <v>0.89215686274509809</v>
      </c>
      <c r="V10" s="1">
        <f t="shared" si="6"/>
        <v>0.89320388349514568</v>
      </c>
      <c r="W10" s="1">
        <f t="shared" si="6"/>
        <v>0.89320388349514568</v>
      </c>
      <c r="X10" s="1">
        <f t="shared" si="6"/>
        <v>0.88461538461538458</v>
      </c>
      <c r="Y10" s="1">
        <f t="shared" si="6"/>
        <v>0.88461538461538458</v>
      </c>
      <c r="Z10" s="1">
        <f t="shared" si="6"/>
        <v>0.88461538461538458</v>
      </c>
      <c r="AA10" s="1">
        <f t="shared" si="6"/>
        <v>0.88461538461538458</v>
      </c>
      <c r="AB10" s="1">
        <f t="shared" si="6"/>
        <v>0.88461538461538458</v>
      </c>
      <c r="AC10" s="1">
        <f t="shared" si="6"/>
        <v>0.88461538461538458</v>
      </c>
      <c r="AD10" s="3">
        <f t="shared" si="6"/>
        <v>0.89320388349514568</v>
      </c>
    </row>
    <row r="11" spans="1:30" x14ac:dyDescent="0.25">
      <c r="A11" t="s">
        <v>13</v>
      </c>
      <c r="B11" s="1">
        <f>2*B9*B10/(B9+B10)</f>
        <v>0.91666666666666663</v>
      </c>
      <c r="C11" s="1">
        <f t="shared" ref="C11:AD11" si="7">2*C9*C10/(C9+C10)</f>
        <v>0.91666666666666663</v>
      </c>
      <c r="D11" s="1">
        <f t="shared" si="7"/>
        <v>0.91666666666666663</v>
      </c>
      <c r="E11" s="1">
        <f t="shared" si="7"/>
        <v>0.91666666666666663</v>
      </c>
      <c r="F11" s="1">
        <f t="shared" si="7"/>
        <v>0.91666666666666663</v>
      </c>
      <c r="G11" s="1">
        <f t="shared" si="7"/>
        <v>0.91666666666666663</v>
      </c>
      <c r="H11" s="1">
        <f t="shared" si="7"/>
        <v>0.90155440414507781</v>
      </c>
      <c r="I11" s="1">
        <f t="shared" si="7"/>
        <v>0.89230769230769225</v>
      </c>
      <c r="J11" s="1">
        <f t="shared" si="7"/>
        <v>0.9128205128205128</v>
      </c>
      <c r="K11" s="3">
        <f t="shared" si="7"/>
        <v>0.90256410256410269</v>
      </c>
      <c r="L11" s="1">
        <f t="shared" si="7"/>
        <v>0.90816326530612257</v>
      </c>
      <c r="M11" s="1">
        <f t="shared" si="7"/>
        <v>0.90816326530612257</v>
      </c>
      <c r="N11" s="1">
        <f t="shared" si="7"/>
        <v>0.91752577319587636</v>
      </c>
      <c r="O11" s="1">
        <f t="shared" si="7"/>
        <v>0.91836734693877542</v>
      </c>
      <c r="P11" s="1">
        <f t="shared" si="7"/>
        <v>0.92079207920792083</v>
      </c>
      <c r="Q11" s="1">
        <f t="shared" si="7"/>
        <v>0.91542288557213924</v>
      </c>
      <c r="R11" s="1">
        <f t="shared" si="7"/>
        <v>0.91999999999999993</v>
      </c>
      <c r="S11" s="1">
        <f t="shared" si="7"/>
        <v>0.91999999999999993</v>
      </c>
      <c r="T11" s="1">
        <f t="shared" si="7"/>
        <v>0.92385786802030456</v>
      </c>
      <c r="U11" s="1">
        <f t="shared" si="7"/>
        <v>0.9285714285714286</v>
      </c>
      <c r="V11" s="1">
        <f t="shared" si="7"/>
        <v>0.93401015228426398</v>
      </c>
      <c r="W11" s="1">
        <f t="shared" si="7"/>
        <v>0.93401015228426398</v>
      </c>
      <c r="X11" s="1">
        <f t="shared" si="7"/>
        <v>0.92929292929292928</v>
      </c>
      <c r="Y11" s="1">
        <f t="shared" si="7"/>
        <v>0.92929292929292928</v>
      </c>
      <c r="Z11" s="1">
        <f t="shared" si="7"/>
        <v>0.92929292929292928</v>
      </c>
      <c r="AA11" s="1">
        <f t="shared" si="7"/>
        <v>0.92929292929292928</v>
      </c>
      <c r="AB11" s="1">
        <f t="shared" si="7"/>
        <v>0.92929292929292928</v>
      </c>
      <c r="AC11" s="1">
        <f t="shared" si="7"/>
        <v>0.92929292929292928</v>
      </c>
      <c r="AD11" s="3">
        <f t="shared" si="7"/>
        <v>0.93401015228426398</v>
      </c>
    </row>
    <row r="12" spans="1:30" x14ac:dyDescent="0.25">
      <c r="A12" t="s">
        <v>14</v>
      </c>
      <c r="B12" s="1">
        <f>B5/(B4+B5)</f>
        <v>0.90566037735849059</v>
      </c>
      <c r="C12" s="1">
        <f t="shared" ref="C12:AD12" si="8">C5/(C4+C5)</f>
        <v>0.90566037735849059</v>
      </c>
      <c r="D12" s="1">
        <f t="shared" si="8"/>
        <v>0.90566037735849059</v>
      </c>
      <c r="E12" s="1">
        <f t="shared" si="8"/>
        <v>0.90566037735849059</v>
      </c>
      <c r="F12" s="1">
        <f t="shared" si="8"/>
        <v>0.90566037735849059</v>
      </c>
      <c r="G12" s="1">
        <f t="shared" si="8"/>
        <v>0.90566037735849059</v>
      </c>
      <c r="H12" s="1">
        <f t="shared" si="8"/>
        <v>0.8867924528301887</v>
      </c>
      <c r="I12" s="1">
        <f t="shared" si="8"/>
        <v>0.86792452830188682</v>
      </c>
      <c r="J12" s="1">
        <f t="shared" si="8"/>
        <v>0.8867924528301887</v>
      </c>
      <c r="K12" s="3">
        <f t="shared" si="8"/>
        <v>0.87735849056603776</v>
      </c>
      <c r="L12" s="1">
        <f t="shared" si="8"/>
        <v>0.87735849056603776</v>
      </c>
      <c r="M12" s="1">
        <f t="shared" si="8"/>
        <v>0.87735849056603776</v>
      </c>
      <c r="N12" s="1">
        <f t="shared" si="8"/>
        <v>0.89622641509433965</v>
      </c>
      <c r="O12" s="1">
        <f t="shared" si="8"/>
        <v>0.8867924528301887</v>
      </c>
      <c r="P12" s="1">
        <f t="shared" si="8"/>
        <v>0.85849056603773588</v>
      </c>
      <c r="Q12" s="1">
        <f t="shared" si="8"/>
        <v>0.85849056603773588</v>
      </c>
      <c r="R12" s="1">
        <f t="shared" si="8"/>
        <v>0.86792452830188682</v>
      </c>
      <c r="S12" s="1">
        <f t="shared" si="8"/>
        <v>0.86792452830188682</v>
      </c>
      <c r="T12" s="1">
        <f t="shared" si="8"/>
        <v>0.8867924528301887</v>
      </c>
      <c r="U12" s="1">
        <f t="shared" si="8"/>
        <v>0.89622641509433965</v>
      </c>
      <c r="V12" s="1">
        <f t="shared" si="8"/>
        <v>0.89622641509433965</v>
      </c>
      <c r="W12" s="1">
        <f t="shared" si="8"/>
        <v>0.89622641509433965</v>
      </c>
      <c r="X12" s="1">
        <f t="shared" si="8"/>
        <v>0.8867924528301887</v>
      </c>
      <c r="Y12" s="1">
        <f t="shared" si="8"/>
        <v>0.8867924528301887</v>
      </c>
      <c r="Z12" s="1">
        <f t="shared" si="8"/>
        <v>0.8867924528301887</v>
      </c>
      <c r="AA12" s="1">
        <f t="shared" si="8"/>
        <v>0.8867924528301887</v>
      </c>
      <c r="AB12" s="1">
        <f t="shared" si="8"/>
        <v>0.8867924528301887</v>
      </c>
      <c r="AC12" s="1">
        <f t="shared" si="8"/>
        <v>0.8867924528301887</v>
      </c>
      <c r="AD12" s="3">
        <f t="shared" si="8"/>
        <v>0.89622641509433965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3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3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="130" zoomScaleNormal="130" workbookViewId="0">
      <selection activeCell="A10" sqref="A10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71</v>
      </c>
      <c r="C2" s="1">
        <v>71</v>
      </c>
      <c r="D2" s="1">
        <v>71</v>
      </c>
      <c r="E2" s="1">
        <v>71</v>
      </c>
      <c r="F2" s="1">
        <v>71</v>
      </c>
      <c r="G2" s="1">
        <v>69</v>
      </c>
      <c r="H2" s="1">
        <v>65</v>
      </c>
      <c r="I2" s="1">
        <v>64</v>
      </c>
      <c r="J2" s="1">
        <v>62</v>
      </c>
      <c r="K2" s="1">
        <v>62</v>
      </c>
      <c r="L2" s="1">
        <v>61</v>
      </c>
      <c r="M2" s="1">
        <v>62</v>
      </c>
      <c r="N2" s="1">
        <v>64</v>
      </c>
      <c r="O2" s="1">
        <v>64</v>
      </c>
      <c r="P2" s="1">
        <v>69</v>
      </c>
      <c r="Q2" s="4">
        <v>68</v>
      </c>
      <c r="R2" s="1">
        <v>68</v>
      </c>
      <c r="S2" s="1">
        <v>68</v>
      </c>
      <c r="T2" s="1">
        <v>68</v>
      </c>
      <c r="U2" s="1">
        <v>68</v>
      </c>
      <c r="V2" s="1">
        <v>66</v>
      </c>
      <c r="W2" s="1">
        <v>67</v>
      </c>
      <c r="X2" s="1">
        <v>67</v>
      </c>
      <c r="Y2" s="1">
        <v>67</v>
      </c>
      <c r="Z2" s="1">
        <v>67</v>
      </c>
      <c r="AA2" s="1">
        <v>67</v>
      </c>
      <c r="AB2" s="1">
        <v>67</v>
      </c>
      <c r="AC2" s="1">
        <v>67</v>
      </c>
      <c r="AD2" s="1">
        <v>67</v>
      </c>
    </row>
    <row r="3" spans="1:30" x14ac:dyDescent="0.25">
      <c r="A3" t="s">
        <v>18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3</v>
      </c>
      <c r="H3" s="1">
        <v>7</v>
      </c>
      <c r="I3" s="1">
        <v>8</v>
      </c>
      <c r="J3" s="1">
        <v>10</v>
      </c>
      <c r="K3" s="1">
        <v>10</v>
      </c>
      <c r="L3" s="1">
        <v>11</v>
      </c>
      <c r="M3" s="1">
        <v>10</v>
      </c>
      <c r="N3" s="1">
        <v>8</v>
      </c>
      <c r="O3" s="1">
        <v>8</v>
      </c>
      <c r="P3" s="1">
        <v>3</v>
      </c>
      <c r="Q3" s="4">
        <v>4</v>
      </c>
      <c r="R3" s="1">
        <v>4</v>
      </c>
      <c r="S3" s="1">
        <v>4</v>
      </c>
      <c r="T3" s="1">
        <v>4</v>
      </c>
      <c r="U3" s="1">
        <v>4</v>
      </c>
      <c r="V3" s="1">
        <v>6</v>
      </c>
      <c r="W3" s="1">
        <v>5</v>
      </c>
      <c r="X3" s="1">
        <v>5</v>
      </c>
      <c r="Y3" s="1">
        <v>5</v>
      </c>
      <c r="Z3" s="1">
        <v>5</v>
      </c>
      <c r="AA3" s="1">
        <v>5</v>
      </c>
      <c r="AB3" s="1">
        <v>5</v>
      </c>
      <c r="AC3" s="1">
        <v>5</v>
      </c>
      <c r="AD3" s="1">
        <v>5</v>
      </c>
    </row>
    <row r="4" spans="1:30" x14ac:dyDescent="0.25">
      <c r="A4" t="s">
        <v>19</v>
      </c>
      <c r="B4" s="1">
        <v>31</v>
      </c>
      <c r="C4" s="1">
        <v>31</v>
      </c>
      <c r="D4" s="1">
        <v>31</v>
      </c>
      <c r="E4" s="1">
        <v>31</v>
      </c>
      <c r="F4" s="1">
        <v>30</v>
      </c>
      <c r="G4" s="1">
        <v>30</v>
      </c>
      <c r="H4" s="1">
        <v>22</v>
      </c>
      <c r="I4" s="1">
        <v>23</v>
      </c>
      <c r="J4" s="1">
        <v>11</v>
      </c>
      <c r="K4" s="1">
        <v>11</v>
      </c>
      <c r="L4" s="1">
        <v>11</v>
      </c>
      <c r="M4" s="1">
        <v>11</v>
      </c>
      <c r="N4" s="1">
        <v>12</v>
      </c>
      <c r="O4" s="1">
        <v>10</v>
      </c>
      <c r="P4" s="1">
        <v>14</v>
      </c>
      <c r="Q4" s="4">
        <v>14</v>
      </c>
      <c r="R4" s="1">
        <v>13</v>
      </c>
      <c r="S4" s="1">
        <v>13</v>
      </c>
      <c r="T4" s="1">
        <v>14</v>
      </c>
      <c r="U4" s="1">
        <v>14</v>
      </c>
      <c r="V4" s="1">
        <v>13</v>
      </c>
      <c r="W4" s="1">
        <v>13</v>
      </c>
      <c r="X4" s="1">
        <v>12</v>
      </c>
      <c r="Y4" s="1">
        <v>12</v>
      </c>
      <c r="Z4" s="1">
        <v>13</v>
      </c>
      <c r="AA4" s="1">
        <v>13</v>
      </c>
      <c r="AB4" s="1">
        <v>13</v>
      </c>
      <c r="AC4" s="1">
        <v>13</v>
      </c>
      <c r="AD4" s="1">
        <v>13</v>
      </c>
    </row>
    <row r="5" spans="1:30" x14ac:dyDescent="0.25">
      <c r="A5" t="s">
        <v>12</v>
      </c>
      <c r="B5" s="1">
        <f t="shared" ref="B5:H5" si="0">200-B2-B3-B4</f>
        <v>97</v>
      </c>
      <c r="C5" s="1">
        <f t="shared" si="0"/>
        <v>97</v>
      </c>
      <c r="D5" s="1">
        <f t="shared" si="0"/>
        <v>97</v>
      </c>
      <c r="E5" s="1">
        <f t="shared" si="0"/>
        <v>97</v>
      </c>
      <c r="F5" s="1">
        <f t="shared" si="0"/>
        <v>98</v>
      </c>
      <c r="G5" s="1">
        <f t="shared" si="0"/>
        <v>98</v>
      </c>
      <c r="H5" s="1">
        <f t="shared" si="0"/>
        <v>106</v>
      </c>
      <c r="I5" s="1">
        <f t="shared" ref="I5:AD5" si="1">200-I2-I3-I4</f>
        <v>105</v>
      </c>
      <c r="J5" s="1">
        <f t="shared" si="1"/>
        <v>117</v>
      </c>
      <c r="K5" s="1">
        <f t="shared" si="1"/>
        <v>117</v>
      </c>
      <c r="L5" s="1">
        <f t="shared" si="1"/>
        <v>117</v>
      </c>
      <c r="M5" s="1">
        <f t="shared" si="1"/>
        <v>117</v>
      </c>
      <c r="N5" s="1">
        <f t="shared" si="1"/>
        <v>116</v>
      </c>
      <c r="O5" s="1">
        <f t="shared" si="1"/>
        <v>118</v>
      </c>
      <c r="P5" s="1">
        <f t="shared" si="1"/>
        <v>114</v>
      </c>
      <c r="Q5" s="4">
        <f t="shared" si="1"/>
        <v>114</v>
      </c>
      <c r="R5" s="1">
        <f t="shared" si="1"/>
        <v>115</v>
      </c>
      <c r="S5" s="1">
        <f t="shared" si="1"/>
        <v>115</v>
      </c>
      <c r="T5" s="1">
        <f>200-T2-T3-T4</f>
        <v>114</v>
      </c>
      <c r="U5" s="1">
        <f t="shared" si="1"/>
        <v>114</v>
      </c>
      <c r="V5" s="1">
        <f t="shared" si="1"/>
        <v>115</v>
      </c>
      <c r="W5" s="1">
        <f t="shared" si="1"/>
        <v>115</v>
      </c>
      <c r="X5" s="1">
        <f t="shared" si="1"/>
        <v>116</v>
      </c>
      <c r="Y5" s="1">
        <f t="shared" si="1"/>
        <v>116</v>
      </c>
      <c r="Z5" s="1">
        <f t="shared" si="1"/>
        <v>115</v>
      </c>
      <c r="AA5" s="1">
        <f>200-AA2-AA3-AA4</f>
        <v>115</v>
      </c>
      <c r="AB5" s="1">
        <f t="shared" si="1"/>
        <v>115</v>
      </c>
      <c r="AC5" s="1">
        <f t="shared" si="1"/>
        <v>115</v>
      </c>
      <c r="AD5" s="1">
        <f t="shared" si="1"/>
        <v>115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0.84</v>
      </c>
      <c r="C7" s="1">
        <f t="shared" ref="C7:AD7" si="3">(C5+C2)/C6</f>
        <v>0.84</v>
      </c>
      <c r="D7" s="1">
        <f t="shared" si="3"/>
        <v>0.84</v>
      </c>
      <c r="E7" s="1">
        <f t="shared" si="3"/>
        <v>0.84</v>
      </c>
      <c r="F7" s="1">
        <f t="shared" si="3"/>
        <v>0.84499999999999997</v>
      </c>
      <c r="G7" s="1">
        <f t="shared" si="3"/>
        <v>0.83499999999999996</v>
      </c>
      <c r="H7" s="1">
        <f t="shared" si="3"/>
        <v>0.85499999999999998</v>
      </c>
      <c r="I7" s="1">
        <f t="shared" si="3"/>
        <v>0.84499999999999997</v>
      </c>
      <c r="J7" s="1">
        <f t="shared" si="3"/>
        <v>0.89500000000000002</v>
      </c>
      <c r="K7" s="1">
        <f t="shared" si="3"/>
        <v>0.89500000000000002</v>
      </c>
      <c r="L7" s="1">
        <f t="shared" si="3"/>
        <v>0.89</v>
      </c>
      <c r="M7" s="1">
        <f t="shared" si="3"/>
        <v>0.89500000000000002</v>
      </c>
      <c r="N7" s="1">
        <f t="shared" si="3"/>
        <v>0.9</v>
      </c>
      <c r="O7" s="5">
        <f t="shared" si="3"/>
        <v>0.91</v>
      </c>
      <c r="P7" s="1">
        <f t="shared" si="3"/>
        <v>0.91500000000000004</v>
      </c>
      <c r="Q7" s="4">
        <f t="shared" si="3"/>
        <v>0.91</v>
      </c>
      <c r="R7" s="1">
        <f t="shared" si="3"/>
        <v>0.91500000000000004</v>
      </c>
      <c r="S7" s="1">
        <f t="shared" si="3"/>
        <v>0.91500000000000004</v>
      </c>
      <c r="T7" s="1">
        <f t="shared" si="3"/>
        <v>0.91</v>
      </c>
      <c r="U7" s="1">
        <f t="shared" si="3"/>
        <v>0.91</v>
      </c>
      <c r="V7" s="1">
        <f t="shared" si="3"/>
        <v>0.90500000000000003</v>
      </c>
      <c r="W7" s="1">
        <f t="shared" si="3"/>
        <v>0.91</v>
      </c>
      <c r="X7" s="1">
        <f t="shared" si="3"/>
        <v>0.91500000000000004</v>
      </c>
      <c r="Y7" s="1">
        <f t="shared" si="3"/>
        <v>0.91500000000000004</v>
      </c>
      <c r="Z7" s="1">
        <f t="shared" si="3"/>
        <v>0.91</v>
      </c>
      <c r="AA7" s="1">
        <f t="shared" si="3"/>
        <v>0.91</v>
      </c>
      <c r="AB7" s="1">
        <f t="shared" si="3"/>
        <v>0.91</v>
      </c>
      <c r="AC7" s="1">
        <f t="shared" si="3"/>
        <v>0.91</v>
      </c>
      <c r="AD7" s="5">
        <f t="shared" si="3"/>
        <v>0.91</v>
      </c>
    </row>
    <row r="8" spans="1:30" x14ac:dyDescent="0.25">
      <c r="A8" t="s">
        <v>1</v>
      </c>
      <c r="B8" s="1">
        <f>1-B7</f>
        <v>0.16000000000000003</v>
      </c>
      <c r="C8" s="1">
        <f t="shared" ref="C8:AD8" si="4">1-C7</f>
        <v>0.16000000000000003</v>
      </c>
      <c r="D8" s="1">
        <f t="shared" si="4"/>
        <v>0.16000000000000003</v>
      </c>
      <c r="E8" s="1">
        <f t="shared" si="4"/>
        <v>0.16000000000000003</v>
      </c>
      <c r="F8" s="1">
        <f t="shared" si="4"/>
        <v>0.15500000000000003</v>
      </c>
      <c r="G8" s="1">
        <f t="shared" si="4"/>
        <v>0.16500000000000004</v>
      </c>
      <c r="H8" s="1">
        <f t="shared" si="4"/>
        <v>0.14500000000000002</v>
      </c>
      <c r="I8" s="1">
        <f t="shared" si="4"/>
        <v>0.15500000000000003</v>
      </c>
      <c r="J8" s="1">
        <f t="shared" si="4"/>
        <v>0.10499999999999998</v>
      </c>
      <c r="K8" s="1">
        <f t="shared" si="4"/>
        <v>0.10499999999999998</v>
      </c>
      <c r="L8" s="1">
        <f t="shared" si="4"/>
        <v>0.10999999999999999</v>
      </c>
      <c r="M8" s="1">
        <f t="shared" si="4"/>
        <v>0.10499999999999998</v>
      </c>
      <c r="N8" s="1">
        <f t="shared" si="4"/>
        <v>9.9999999999999978E-2</v>
      </c>
      <c r="O8" s="5">
        <f t="shared" si="4"/>
        <v>8.9999999999999969E-2</v>
      </c>
      <c r="P8" s="1">
        <f t="shared" si="4"/>
        <v>8.4999999999999964E-2</v>
      </c>
      <c r="Q8" s="4">
        <f t="shared" si="4"/>
        <v>8.9999999999999969E-2</v>
      </c>
      <c r="R8" s="1">
        <f t="shared" si="4"/>
        <v>8.4999999999999964E-2</v>
      </c>
      <c r="S8" s="1">
        <f t="shared" si="4"/>
        <v>8.4999999999999964E-2</v>
      </c>
      <c r="T8" s="1">
        <f t="shared" si="4"/>
        <v>8.9999999999999969E-2</v>
      </c>
      <c r="U8" s="1">
        <f t="shared" si="4"/>
        <v>8.9999999999999969E-2</v>
      </c>
      <c r="V8" s="1">
        <f t="shared" si="4"/>
        <v>9.4999999999999973E-2</v>
      </c>
      <c r="W8" s="1">
        <f t="shared" si="4"/>
        <v>8.9999999999999969E-2</v>
      </c>
      <c r="X8" s="1">
        <f t="shared" si="4"/>
        <v>8.4999999999999964E-2</v>
      </c>
      <c r="Y8" s="1">
        <f t="shared" si="4"/>
        <v>8.4999999999999964E-2</v>
      </c>
      <c r="Z8" s="1">
        <f t="shared" si="4"/>
        <v>8.9999999999999969E-2</v>
      </c>
      <c r="AA8" s="1">
        <f t="shared" si="4"/>
        <v>8.9999999999999969E-2</v>
      </c>
      <c r="AB8" s="1">
        <f t="shared" si="4"/>
        <v>8.9999999999999969E-2</v>
      </c>
      <c r="AC8" s="1">
        <f t="shared" si="4"/>
        <v>8.9999999999999969E-2</v>
      </c>
      <c r="AD8" s="5">
        <f t="shared" si="4"/>
        <v>8.9999999999999969E-2</v>
      </c>
    </row>
    <row r="9" spans="1:30" x14ac:dyDescent="0.25">
      <c r="A9" t="s">
        <v>24</v>
      </c>
      <c r="B9" s="1">
        <f>B2/(B2+B3)</f>
        <v>0.98611111111111116</v>
      </c>
      <c r="C9" s="1">
        <f t="shared" ref="C9:AD9" si="5">C2/(C2+C3)</f>
        <v>0.98611111111111116</v>
      </c>
      <c r="D9" s="1">
        <f t="shared" si="5"/>
        <v>0.98611111111111116</v>
      </c>
      <c r="E9" s="1">
        <f t="shared" si="5"/>
        <v>0.98611111111111116</v>
      </c>
      <c r="F9" s="1">
        <f t="shared" si="5"/>
        <v>0.98611111111111116</v>
      </c>
      <c r="G9" s="1">
        <f t="shared" si="5"/>
        <v>0.95833333333333337</v>
      </c>
      <c r="H9" s="1">
        <f t="shared" si="5"/>
        <v>0.90277777777777779</v>
      </c>
      <c r="I9" s="1">
        <f t="shared" si="5"/>
        <v>0.88888888888888884</v>
      </c>
      <c r="J9" s="1">
        <f t="shared" si="5"/>
        <v>0.86111111111111116</v>
      </c>
      <c r="K9" s="1">
        <f t="shared" si="5"/>
        <v>0.86111111111111116</v>
      </c>
      <c r="L9" s="1">
        <f t="shared" si="5"/>
        <v>0.84722222222222221</v>
      </c>
      <c r="M9" s="1">
        <f t="shared" si="5"/>
        <v>0.86111111111111116</v>
      </c>
      <c r="N9" s="1">
        <f t="shared" si="5"/>
        <v>0.88888888888888884</v>
      </c>
      <c r="O9" s="5">
        <f t="shared" si="5"/>
        <v>0.88888888888888884</v>
      </c>
      <c r="P9" s="1">
        <f t="shared" si="5"/>
        <v>0.95833333333333337</v>
      </c>
      <c r="Q9" s="4">
        <f t="shared" si="5"/>
        <v>0.94444444444444442</v>
      </c>
      <c r="R9" s="1">
        <f t="shared" si="5"/>
        <v>0.94444444444444442</v>
      </c>
      <c r="S9" s="1">
        <f t="shared" si="5"/>
        <v>0.94444444444444442</v>
      </c>
      <c r="T9" s="1">
        <f t="shared" si="5"/>
        <v>0.94444444444444442</v>
      </c>
      <c r="U9" s="1">
        <f t="shared" si="5"/>
        <v>0.94444444444444442</v>
      </c>
      <c r="V9" s="1">
        <f t="shared" si="5"/>
        <v>0.91666666666666663</v>
      </c>
      <c r="W9" s="1">
        <f t="shared" si="5"/>
        <v>0.93055555555555558</v>
      </c>
      <c r="X9" s="1">
        <f t="shared" si="5"/>
        <v>0.93055555555555558</v>
      </c>
      <c r="Y9" s="1">
        <f t="shared" si="5"/>
        <v>0.93055555555555558</v>
      </c>
      <c r="Z9" s="1">
        <f t="shared" si="5"/>
        <v>0.93055555555555558</v>
      </c>
      <c r="AA9" s="1">
        <f t="shared" si="5"/>
        <v>0.93055555555555558</v>
      </c>
      <c r="AB9" s="1">
        <f t="shared" si="5"/>
        <v>0.93055555555555558</v>
      </c>
      <c r="AC9" s="1">
        <f t="shared" si="5"/>
        <v>0.93055555555555558</v>
      </c>
      <c r="AD9" s="5">
        <f t="shared" si="5"/>
        <v>0.93055555555555558</v>
      </c>
    </row>
    <row r="10" spans="1:30" x14ac:dyDescent="0.25">
      <c r="A10" t="s">
        <v>23</v>
      </c>
      <c r="B10" s="1">
        <f>B2/(B2+B4)</f>
        <v>0.69607843137254899</v>
      </c>
      <c r="C10" s="1">
        <f t="shared" ref="C10:AD10" si="6">C2/(C2+C4)</f>
        <v>0.69607843137254899</v>
      </c>
      <c r="D10" s="1">
        <f t="shared" si="6"/>
        <v>0.69607843137254899</v>
      </c>
      <c r="E10" s="1">
        <f t="shared" si="6"/>
        <v>0.69607843137254899</v>
      </c>
      <c r="F10" s="1">
        <f t="shared" si="6"/>
        <v>0.70297029702970293</v>
      </c>
      <c r="G10" s="1">
        <f t="shared" si="6"/>
        <v>0.69696969696969702</v>
      </c>
      <c r="H10" s="1">
        <f t="shared" si="6"/>
        <v>0.74712643678160917</v>
      </c>
      <c r="I10" s="1">
        <f t="shared" si="6"/>
        <v>0.73563218390804597</v>
      </c>
      <c r="J10" s="1">
        <f t="shared" si="6"/>
        <v>0.84931506849315064</v>
      </c>
      <c r="K10" s="1">
        <f t="shared" si="6"/>
        <v>0.84931506849315064</v>
      </c>
      <c r="L10" s="1">
        <f t="shared" si="6"/>
        <v>0.84722222222222221</v>
      </c>
      <c r="M10" s="1">
        <f t="shared" si="6"/>
        <v>0.84931506849315064</v>
      </c>
      <c r="N10" s="1">
        <f t="shared" si="6"/>
        <v>0.84210526315789469</v>
      </c>
      <c r="O10" s="5">
        <f t="shared" si="6"/>
        <v>0.86486486486486491</v>
      </c>
      <c r="P10" s="1">
        <f t="shared" si="6"/>
        <v>0.83132530120481929</v>
      </c>
      <c r="Q10" s="4">
        <f t="shared" si="6"/>
        <v>0.82926829268292679</v>
      </c>
      <c r="R10" s="1">
        <f t="shared" si="6"/>
        <v>0.83950617283950613</v>
      </c>
      <c r="S10" s="1">
        <f t="shared" si="6"/>
        <v>0.83950617283950613</v>
      </c>
      <c r="T10" s="1">
        <f t="shared" si="6"/>
        <v>0.82926829268292679</v>
      </c>
      <c r="U10" s="1">
        <f t="shared" si="6"/>
        <v>0.82926829268292679</v>
      </c>
      <c r="V10" s="1">
        <f t="shared" si="6"/>
        <v>0.83544303797468356</v>
      </c>
      <c r="W10" s="1">
        <f t="shared" si="6"/>
        <v>0.83750000000000002</v>
      </c>
      <c r="X10" s="1">
        <f t="shared" si="6"/>
        <v>0.84810126582278478</v>
      </c>
      <c r="Y10" s="1">
        <f t="shared" si="6"/>
        <v>0.84810126582278478</v>
      </c>
      <c r="Z10" s="1">
        <f t="shared" si="6"/>
        <v>0.83750000000000002</v>
      </c>
      <c r="AA10" s="1">
        <f t="shared" si="6"/>
        <v>0.83750000000000002</v>
      </c>
      <c r="AB10" s="1">
        <f t="shared" si="6"/>
        <v>0.83750000000000002</v>
      </c>
      <c r="AC10" s="1">
        <f t="shared" si="6"/>
        <v>0.83750000000000002</v>
      </c>
      <c r="AD10" s="5">
        <f t="shared" si="6"/>
        <v>0.83750000000000002</v>
      </c>
    </row>
    <row r="11" spans="1:30" x14ac:dyDescent="0.25">
      <c r="A11" t="s">
        <v>13</v>
      </c>
      <c r="B11" s="1">
        <f>2*B9*B10/(B9+B10)</f>
        <v>0.81609195402298851</v>
      </c>
      <c r="C11" s="1">
        <f t="shared" ref="C11:AD11" si="7">2*C9*C10/(C9+C10)</f>
        <v>0.81609195402298851</v>
      </c>
      <c r="D11" s="1">
        <f t="shared" si="7"/>
        <v>0.81609195402298851</v>
      </c>
      <c r="E11" s="1">
        <f t="shared" si="7"/>
        <v>0.81609195402298851</v>
      </c>
      <c r="F11" s="1">
        <f t="shared" si="7"/>
        <v>0.82080924855491322</v>
      </c>
      <c r="G11" s="1">
        <f t="shared" si="7"/>
        <v>0.8070175438596493</v>
      </c>
      <c r="H11" s="1">
        <f t="shared" si="7"/>
        <v>0.81761006289308169</v>
      </c>
      <c r="I11" s="1">
        <f t="shared" si="7"/>
        <v>0.80503144654088044</v>
      </c>
      <c r="J11" s="1">
        <f t="shared" si="7"/>
        <v>0.85517241379310349</v>
      </c>
      <c r="K11" s="1">
        <f t="shared" si="7"/>
        <v>0.85517241379310349</v>
      </c>
      <c r="L11" s="1">
        <f t="shared" si="7"/>
        <v>0.84722222222222221</v>
      </c>
      <c r="M11" s="1">
        <f t="shared" si="7"/>
        <v>0.85517241379310349</v>
      </c>
      <c r="N11" s="1">
        <f t="shared" si="7"/>
        <v>0.86486486486486491</v>
      </c>
      <c r="O11" s="5">
        <f t="shared" si="7"/>
        <v>0.87671232876712324</v>
      </c>
      <c r="P11" s="1">
        <f t="shared" si="7"/>
        <v>0.89032258064516134</v>
      </c>
      <c r="Q11" s="4">
        <f t="shared" si="7"/>
        <v>0.88311688311688297</v>
      </c>
      <c r="R11" s="1">
        <f t="shared" si="7"/>
        <v>0.88888888888888895</v>
      </c>
      <c r="S11" s="1">
        <f t="shared" si="7"/>
        <v>0.88888888888888895</v>
      </c>
      <c r="T11" s="1">
        <f t="shared" si="7"/>
        <v>0.88311688311688297</v>
      </c>
      <c r="U11" s="1">
        <f t="shared" si="7"/>
        <v>0.88311688311688297</v>
      </c>
      <c r="V11" s="1">
        <f t="shared" si="7"/>
        <v>0.8741721854304636</v>
      </c>
      <c r="W11" s="1">
        <f t="shared" si="7"/>
        <v>0.88157894736842102</v>
      </c>
      <c r="X11" s="1">
        <f t="shared" si="7"/>
        <v>0.88741721854304634</v>
      </c>
      <c r="Y11" s="1">
        <f t="shared" si="7"/>
        <v>0.88741721854304634</v>
      </c>
      <c r="Z11" s="1">
        <f t="shared" si="7"/>
        <v>0.88157894736842102</v>
      </c>
      <c r="AA11" s="1">
        <f t="shared" si="7"/>
        <v>0.88157894736842102</v>
      </c>
      <c r="AB11" s="1">
        <f t="shared" si="7"/>
        <v>0.88157894736842102</v>
      </c>
      <c r="AC11" s="1">
        <f t="shared" si="7"/>
        <v>0.88157894736842102</v>
      </c>
      <c r="AD11" s="5">
        <f t="shared" si="7"/>
        <v>0.88157894736842102</v>
      </c>
    </row>
    <row r="12" spans="1:30" x14ac:dyDescent="0.25">
      <c r="A12" t="s">
        <v>14</v>
      </c>
      <c r="B12" s="1">
        <f>B5/(B4+B5)</f>
        <v>0.7578125</v>
      </c>
      <c r="C12" s="1">
        <f t="shared" ref="C12:AD12" si="8">C5/(C4+C5)</f>
        <v>0.7578125</v>
      </c>
      <c r="D12" s="1">
        <f t="shared" si="8"/>
        <v>0.7578125</v>
      </c>
      <c r="E12" s="1">
        <f t="shared" si="8"/>
        <v>0.7578125</v>
      </c>
      <c r="F12" s="1">
        <f t="shared" si="8"/>
        <v>0.765625</v>
      </c>
      <c r="G12" s="1">
        <f t="shared" si="8"/>
        <v>0.765625</v>
      </c>
      <c r="H12" s="1">
        <f t="shared" si="8"/>
        <v>0.828125</v>
      </c>
      <c r="I12" s="1">
        <f t="shared" si="8"/>
        <v>0.8203125</v>
      </c>
      <c r="J12" s="1">
        <f t="shared" si="8"/>
        <v>0.9140625</v>
      </c>
      <c r="K12" s="1">
        <f t="shared" si="8"/>
        <v>0.9140625</v>
      </c>
      <c r="L12" s="1">
        <f t="shared" si="8"/>
        <v>0.9140625</v>
      </c>
      <c r="M12" s="1">
        <f t="shared" si="8"/>
        <v>0.9140625</v>
      </c>
      <c r="N12" s="1">
        <f t="shared" si="8"/>
        <v>0.90625</v>
      </c>
      <c r="O12" s="5">
        <f t="shared" si="8"/>
        <v>0.921875</v>
      </c>
      <c r="P12" s="1">
        <f t="shared" si="8"/>
        <v>0.890625</v>
      </c>
      <c r="Q12" s="4">
        <f t="shared" si="8"/>
        <v>0.890625</v>
      </c>
      <c r="R12" s="1">
        <f t="shared" si="8"/>
        <v>0.8984375</v>
      </c>
      <c r="S12" s="1">
        <f t="shared" si="8"/>
        <v>0.8984375</v>
      </c>
      <c r="T12" s="1">
        <f t="shared" si="8"/>
        <v>0.890625</v>
      </c>
      <c r="U12" s="1">
        <f t="shared" si="8"/>
        <v>0.890625</v>
      </c>
      <c r="V12" s="1">
        <f t="shared" si="8"/>
        <v>0.8984375</v>
      </c>
      <c r="W12" s="1">
        <f t="shared" si="8"/>
        <v>0.8984375</v>
      </c>
      <c r="X12" s="1">
        <f t="shared" si="8"/>
        <v>0.90625</v>
      </c>
      <c r="Y12" s="1">
        <f t="shared" si="8"/>
        <v>0.90625</v>
      </c>
      <c r="Z12" s="1">
        <f t="shared" si="8"/>
        <v>0.8984375</v>
      </c>
      <c r="AA12" s="1">
        <f t="shared" si="8"/>
        <v>0.8984375</v>
      </c>
      <c r="AB12" s="1">
        <f t="shared" si="8"/>
        <v>0.8984375</v>
      </c>
      <c r="AC12" s="1">
        <f t="shared" si="8"/>
        <v>0.8984375</v>
      </c>
      <c r="AD12" s="5">
        <f t="shared" si="8"/>
        <v>0.8984375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5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A10" sqref="A10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H2" s="1">
        <v>7</v>
      </c>
      <c r="I2" s="1">
        <v>4</v>
      </c>
      <c r="J2" s="1">
        <v>15</v>
      </c>
      <c r="K2" s="1">
        <v>14</v>
      </c>
      <c r="L2" s="1">
        <v>14</v>
      </c>
      <c r="M2" s="1">
        <v>14</v>
      </c>
      <c r="N2" s="1">
        <v>14</v>
      </c>
      <c r="O2" s="1">
        <v>14</v>
      </c>
      <c r="P2" s="1">
        <v>8</v>
      </c>
      <c r="Q2" s="1">
        <v>8</v>
      </c>
      <c r="R2" s="1">
        <v>9</v>
      </c>
      <c r="S2" s="1">
        <v>9</v>
      </c>
      <c r="T2" s="1">
        <v>9</v>
      </c>
      <c r="U2" s="1">
        <v>10</v>
      </c>
      <c r="V2" s="1">
        <v>11</v>
      </c>
      <c r="W2" s="1">
        <v>11</v>
      </c>
      <c r="X2" s="1">
        <v>11</v>
      </c>
      <c r="Y2" s="1">
        <v>11</v>
      </c>
      <c r="Z2" s="1">
        <v>11</v>
      </c>
      <c r="AA2" s="1">
        <v>11</v>
      </c>
      <c r="AB2" s="1">
        <v>11</v>
      </c>
      <c r="AC2" s="1">
        <v>11</v>
      </c>
      <c r="AD2" s="1">
        <v>11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33</v>
      </c>
      <c r="G3" s="1">
        <v>33</v>
      </c>
      <c r="H3" s="1">
        <v>27</v>
      </c>
      <c r="I3" s="1">
        <v>29</v>
      </c>
      <c r="J3" s="1">
        <v>19</v>
      </c>
      <c r="K3" s="1">
        <v>20</v>
      </c>
      <c r="L3" s="1">
        <v>20</v>
      </c>
      <c r="M3" s="1">
        <v>20</v>
      </c>
      <c r="N3" s="1">
        <v>10</v>
      </c>
      <c r="O3" s="1">
        <v>20</v>
      </c>
      <c r="P3" s="1">
        <v>26</v>
      </c>
      <c r="Q3" s="1">
        <v>26</v>
      </c>
      <c r="R3" s="1">
        <v>25</v>
      </c>
      <c r="S3" s="1">
        <v>25</v>
      </c>
      <c r="T3" s="1">
        <v>25</v>
      </c>
      <c r="U3" s="1">
        <v>24</v>
      </c>
      <c r="V3" s="1">
        <v>23</v>
      </c>
      <c r="W3" s="1">
        <v>24</v>
      </c>
      <c r="X3" s="1">
        <v>23</v>
      </c>
      <c r="Y3" s="1">
        <v>23</v>
      </c>
      <c r="Z3" s="1">
        <v>23</v>
      </c>
      <c r="AA3" s="1">
        <v>23</v>
      </c>
      <c r="AB3" s="1">
        <v>23</v>
      </c>
      <c r="AC3" s="1">
        <v>23</v>
      </c>
      <c r="AD3" s="1">
        <v>23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2</v>
      </c>
      <c r="H4" s="1">
        <v>7</v>
      </c>
      <c r="I4" s="1">
        <v>8</v>
      </c>
      <c r="J4" s="1">
        <v>11</v>
      </c>
      <c r="K4" s="1">
        <v>12</v>
      </c>
      <c r="L4" s="1">
        <v>12</v>
      </c>
      <c r="M4" s="1">
        <v>11</v>
      </c>
      <c r="N4" s="1">
        <v>10</v>
      </c>
      <c r="O4" s="1">
        <v>10</v>
      </c>
      <c r="P4" s="1">
        <v>1</v>
      </c>
      <c r="Q4" s="1">
        <v>3</v>
      </c>
      <c r="R4" s="1">
        <v>4</v>
      </c>
      <c r="S4" s="1">
        <v>4</v>
      </c>
      <c r="T4" s="1">
        <v>6</v>
      </c>
      <c r="U4" s="1">
        <v>6</v>
      </c>
      <c r="V4" s="1">
        <v>7</v>
      </c>
      <c r="W4" s="1">
        <v>6</v>
      </c>
      <c r="X4" s="1">
        <v>6</v>
      </c>
      <c r="Y4" s="1">
        <v>6</v>
      </c>
      <c r="Z4" s="1">
        <v>6</v>
      </c>
      <c r="AA4" s="1">
        <v>6</v>
      </c>
      <c r="AB4" s="1">
        <v>6</v>
      </c>
      <c r="AC4" s="1">
        <v>6</v>
      </c>
      <c r="AD4" s="1">
        <v>6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166</v>
      </c>
      <c r="G5" s="1">
        <f t="shared" si="0"/>
        <v>164</v>
      </c>
      <c r="H5" s="1">
        <f>200-H2-H3-H4</f>
        <v>159</v>
      </c>
      <c r="I5" s="1">
        <f t="shared" ref="I5:AD5" si="1">200-I2-I3-I4</f>
        <v>159</v>
      </c>
      <c r="J5" s="1">
        <f t="shared" si="1"/>
        <v>155</v>
      </c>
      <c r="K5" s="1">
        <f t="shared" si="1"/>
        <v>154</v>
      </c>
      <c r="L5" s="1">
        <f t="shared" si="1"/>
        <v>154</v>
      </c>
      <c r="M5" s="1">
        <f t="shared" si="1"/>
        <v>155</v>
      </c>
      <c r="N5" s="1">
        <f t="shared" si="1"/>
        <v>166</v>
      </c>
      <c r="O5" s="1">
        <f t="shared" si="1"/>
        <v>156</v>
      </c>
      <c r="P5" s="1">
        <f t="shared" si="1"/>
        <v>165</v>
      </c>
      <c r="Q5" s="1">
        <f t="shared" si="1"/>
        <v>163</v>
      </c>
      <c r="R5" s="1">
        <f t="shared" si="1"/>
        <v>162</v>
      </c>
      <c r="S5" s="1">
        <f t="shared" si="1"/>
        <v>162</v>
      </c>
      <c r="T5" s="1">
        <f>200-T2-T3-T4</f>
        <v>160</v>
      </c>
      <c r="U5" s="1">
        <f t="shared" si="1"/>
        <v>160</v>
      </c>
      <c r="V5" s="1">
        <f t="shared" si="1"/>
        <v>159</v>
      </c>
      <c r="W5" s="1">
        <f t="shared" si="1"/>
        <v>159</v>
      </c>
      <c r="X5" s="1">
        <f t="shared" si="1"/>
        <v>160</v>
      </c>
      <c r="Y5" s="1">
        <f t="shared" si="1"/>
        <v>160</v>
      </c>
      <c r="Z5" s="1">
        <f t="shared" si="1"/>
        <v>160</v>
      </c>
      <c r="AA5" s="1">
        <f>200-AA2-AA3-AA4</f>
        <v>160</v>
      </c>
      <c r="AB5" s="1">
        <f t="shared" si="1"/>
        <v>160</v>
      </c>
      <c r="AC5" s="1">
        <f t="shared" si="1"/>
        <v>160</v>
      </c>
      <c r="AD5" s="1">
        <f t="shared" si="1"/>
        <v>160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0.83499999999999996</v>
      </c>
      <c r="G7" s="1">
        <f t="shared" si="3"/>
        <v>0.82499999999999996</v>
      </c>
      <c r="H7" s="1">
        <f t="shared" si="3"/>
        <v>0.83</v>
      </c>
      <c r="I7" s="1">
        <f t="shared" si="3"/>
        <v>0.81499999999999995</v>
      </c>
      <c r="J7" s="1">
        <f t="shared" si="3"/>
        <v>0.85</v>
      </c>
      <c r="K7" s="1">
        <f t="shared" si="3"/>
        <v>0.84</v>
      </c>
      <c r="L7" s="1">
        <f t="shared" si="3"/>
        <v>0.84</v>
      </c>
      <c r="M7" s="1">
        <f t="shared" si="3"/>
        <v>0.84499999999999997</v>
      </c>
      <c r="N7" s="1">
        <f t="shared" si="3"/>
        <v>0.9</v>
      </c>
      <c r="O7" s="1">
        <f t="shared" si="3"/>
        <v>0.85</v>
      </c>
      <c r="P7" s="1">
        <f t="shared" si="3"/>
        <v>0.86499999999999999</v>
      </c>
      <c r="Q7" s="1">
        <f t="shared" si="3"/>
        <v>0.85499999999999998</v>
      </c>
      <c r="R7" s="1">
        <f t="shared" si="3"/>
        <v>0.85499999999999998</v>
      </c>
      <c r="S7" s="1">
        <f t="shared" si="3"/>
        <v>0.85499999999999998</v>
      </c>
      <c r="T7" s="5">
        <f t="shared" si="3"/>
        <v>0.84499999999999997</v>
      </c>
      <c r="U7" s="1">
        <f t="shared" si="3"/>
        <v>0.85</v>
      </c>
      <c r="V7" s="1">
        <f t="shared" si="3"/>
        <v>0.85</v>
      </c>
      <c r="W7" s="1">
        <f t="shared" si="3"/>
        <v>0.85</v>
      </c>
      <c r="X7" s="1">
        <f t="shared" si="3"/>
        <v>0.85499999999999998</v>
      </c>
      <c r="Y7" s="1">
        <f t="shared" si="3"/>
        <v>0.85499999999999998</v>
      </c>
      <c r="Z7" s="1">
        <f t="shared" si="3"/>
        <v>0.85499999999999998</v>
      </c>
      <c r="AA7" s="1">
        <f t="shared" si="3"/>
        <v>0.85499999999999998</v>
      </c>
      <c r="AB7" s="1">
        <f t="shared" si="3"/>
        <v>0.85499999999999998</v>
      </c>
      <c r="AC7" s="1">
        <f t="shared" si="3"/>
        <v>0.85499999999999998</v>
      </c>
      <c r="AD7" s="5">
        <f t="shared" si="3"/>
        <v>0.85499999999999998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0.16500000000000004</v>
      </c>
      <c r="G8" s="1">
        <f t="shared" si="4"/>
        <v>0.17500000000000004</v>
      </c>
      <c r="H8" s="1">
        <f t="shared" si="4"/>
        <v>0.17000000000000004</v>
      </c>
      <c r="I8" s="1">
        <f t="shared" si="4"/>
        <v>0.18500000000000005</v>
      </c>
      <c r="J8" s="1">
        <f t="shared" si="4"/>
        <v>0.15000000000000002</v>
      </c>
      <c r="K8" s="1">
        <f t="shared" si="4"/>
        <v>0.16000000000000003</v>
      </c>
      <c r="L8" s="1">
        <f t="shared" si="4"/>
        <v>0.16000000000000003</v>
      </c>
      <c r="M8" s="1">
        <f t="shared" si="4"/>
        <v>0.15500000000000003</v>
      </c>
      <c r="N8" s="1">
        <f t="shared" si="4"/>
        <v>9.9999999999999978E-2</v>
      </c>
      <c r="O8" s="1">
        <f t="shared" si="4"/>
        <v>0.15000000000000002</v>
      </c>
      <c r="P8" s="1">
        <f t="shared" si="4"/>
        <v>0.13500000000000001</v>
      </c>
      <c r="Q8" s="1">
        <f t="shared" si="4"/>
        <v>0.14500000000000002</v>
      </c>
      <c r="R8" s="1">
        <f t="shared" si="4"/>
        <v>0.14500000000000002</v>
      </c>
      <c r="S8" s="1">
        <f t="shared" si="4"/>
        <v>0.14500000000000002</v>
      </c>
      <c r="T8" s="5">
        <f t="shared" si="4"/>
        <v>0.15500000000000003</v>
      </c>
      <c r="U8" s="1">
        <f t="shared" si="4"/>
        <v>0.15000000000000002</v>
      </c>
      <c r="V8" s="1">
        <f t="shared" si="4"/>
        <v>0.15000000000000002</v>
      </c>
      <c r="W8" s="1">
        <f t="shared" si="4"/>
        <v>0.15000000000000002</v>
      </c>
      <c r="X8" s="1">
        <f t="shared" si="4"/>
        <v>0.14500000000000002</v>
      </c>
      <c r="Y8" s="1">
        <f t="shared" si="4"/>
        <v>0.14500000000000002</v>
      </c>
      <c r="Z8" s="1">
        <f t="shared" si="4"/>
        <v>0.14500000000000002</v>
      </c>
      <c r="AA8" s="1">
        <f t="shared" si="4"/>
        <v>0.14500000000000002</v>
      </c>
      <c r="AB8" s="1">
        <f t="shared" si="4"/>
        <v>0.14500000000000002</v>
      </c>
      <c r="AC8" s="1">
        <f t="shared" si="4"/>
        <v>0.14500000000000002</v>
      </c>
      <c r="AD8" s="5">
        <f t="shared" si="4"/>
        <v>0.14500000000000002</v>
      </c>
    </row>
    <row r="9" spans="1:30" x14ac:dyDescent="0.25">
      <c r="A9" t="s">
        <v>24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2.9411764705882353E-2</v>
      </c>
      <c r="G9" s="1">
        <f t="shared" si="5"/>
        <v>2.9411764705882353E-2</v>
      </c>
      <c r="H9" s="1">
        <f t="shared" si="5"/>
        <v>0.20588235294117646</v>
      </c>
      <c r="I9" s="1">
        <f t="shared" si="5"/>
        <v>0.12121212121212122</v>
      </c>
      <c r="J9" s="1">
        <f t="shared" si="5"/>
        <v>0.44117647058823528</v>
      </c>
      <c r="K9" s="1">
        <f t="shared" si="5"/>
        <v>0.41176470588235292</v>
      </c>
      <c r="L9" s="1">
        <f t="shared" si="5"/>
        <v>0.41176470588235292</v>
      </c>
      <c r="M9" s="1">
        <f t="shared" si="5"/>
        <v>0.41176470588235292</v>
      </c>
      <c r="N9" s="1">
        <f t="shared" si="5"/>
        <v>0.58333333333333337</v>
      </c>
      <c r="O9" s="1">
        <f t="shared" si="5"/>
        <v>0.41176470588235292</v>
      </c>
      <c r="P9" s="1">
        <f t="shared" si="5"/>
        <v>0.23529411764705882</v>
      </c>
      <c r="Q9" s="1">
        <f t="shared" si="5"/>
        <v>0.23529411764705882</v>
      </c>
      <c r="R9" s="1">
        <f t="shared" si="5"/>
        <v>0.26470588235294118</v>
      </c>
      <c r="S9" s="1">
        <f t="shared" si="5"/>
        <v>0.26470588235294118</v>
      </c>
      <c r="T9" s="5">
        <f t="shared" si="5"/>
        <v>0.26470588235294118</v>
      </c>
      <c r="U9" s="1">
        <f t="shared" si="5"/>
        <v>0.29411764705882354</v>
      </c>
      <c r="V9" s="1">
        <f t="shared" si="5"/>
        <v>0.3235294117647059</v>
      </c>
      <c r="W9" s="1">
        <f t="shared" si="5"/>
        <v>0.31428571428571428</v>
      </c>
      <c r="X9" s="1">
        <f t="shared" si="5"/>
        <v>0.3235294117647059</v>
      </c>
      <c r="Y9" s="1">
        <f t="shared" si="5"/>
        <v>0.3235294117647059</v>
      </c>
      <c r="Z9" s="1">
        <f t="shared" si="5"/>
        <v>0.3235294117647059</v>
      </c>
      <c r="AA9" s="1">
        <f t="shared" si="5"/>
        <v>0.3235294117647059</v>
      </c>
      <c r="AB9" s="1">
        <f t="shared" si="5"/>
        <v>0.3235294117647059</v>
      </c>
      <c r="AC9" s="1">
        <f t="shared" si="5"/>
        <v>0.3235294117647059</v>
      </c>
      <c r="AD9" s="5">
        <f t="shared" si="5"/>
        <v>0.3235294117647059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>
        <f t="shared" si="6"/>
        <v>1</v>
      </c>
      <c r="G10" s="1">
        <f t="shared" si="6"/>
        <v>0.33333333333333331</v>
      </c>
      <c r="H10" s="1">
        <f t="shared" si="6"/>
        <v>0.5</v>
      </c>
      <c r="I10" s="1">
        <f t="shared" si="6"/>
        <v>0.33333333333333331</v>
      </c>
      <c r="J10" s="1">
        <f t="shared" si="6"/>
        <v>0.57692307692307687</v>
      </c>
      <c r="K10" s="1">
        <f t="shared" si="6"/>
        <v>0.53846153846153844</v>
      </c>
      <c r="L10" s="1">
        <f t="shared" si="6"/>
        <v>0.53846153846153844</v>
      </c>
      <c r="M10" s="1">
        <f t="shared" si="6"/>
        <v>0.56000000000000005</v>
      </c>
      <c r="N10" s="1">
        <f t="shared" si="6"/>
        <v>0.58333333333333337</v>
      </c>
      <c r="O10" s="1">
        <f t="shared" si="6"/>
        <v>0.58333333333333337</v>
      </c>
      <c r="P10" s="1">
        <f t="shared" si="6"/>
        <v>0.88888888888888884</v>
      </c>
      <c r="Q10" s="1">
        <f t="shared" si="6"/>
        <v>0.72727272727272729</v>
      </c>
      <c r="R10" s="1">
        <f t="shared" si="6"/>
        <v>0.69230769230769229</v>
      </c>
      <c r="S10" s="1">
        <f t="shared" si="6"/>
        <v>0.69230769230769229</v>
      </c>
      <c r="T10" s="5">
        <f t="shared" si="6"/>
        <v>0.6</v>
      </c>
      <c r="U10" s="1">
        <f t="shared" si="6"/>
        <v>0.625</v>
      </c>
      <c r="V10" s="1">
        <f t="shared" si="6"/>
        <v>0.61111111111111116</v>
      </c>
      <c r="W10" s="1">
        <f t="shared" si="6"/>
        <v>0.6470588235294118</v>
      </c>
      <c r="X10" s="1">
        <f t="shared" si="6"/>
        <v>0.6470588235294118</v>
      </c>
      <c r="Y10" s="1">
        <f t="shared" si="6"/>
        <v>0.6470588235294118</v>
      </c>
      <c r="Z10" s="1">
        <f t="shared" si="6"/>
        <v>0.6470588235294118</v>
      </c>
      <c r="AA10" s="1">
        <f t="shared" si="6"/>
        <v>0.6470588235294118</v>
      </c>
      <c r="AB10" s="1">
        <f t="shared" si="6"/>
        <v>0.6470588235294118</v>
      </c>
      <c r="AC10" s="1">
        <f t="shared" si="6"/>
        <v>0.6470588235294118</v>
      </c>
      <c r="AD10" s="5">
        <f t="shared" si="6"/>
        <v>0.6470588235294118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>
        <f t="shared" si="7"/>
        <v>5.7142857142857148E-2</v>
      </c>
      <c r="G11" s="1">
        <f t="shared" si="7"/>
        <v>5.4054054054054057E-2</v>
      </c>
      <c r="H11" s="1">
        <f t="shared" si="7"/>
        <v>0.29166666666666669</v>
      </c>
      <c r="I11" s="1">
        <f t="shared" si="7"/>
        <v>0.17777777777777776</v>
      </c>
      <c r="J11" s="1">
        <f t="shared" si="7"/>
        <v>0.5</v>
      </c>
      <c r="K11" s="1">
        <f t="shared" si="7"/>
        <v>0.46666666666666667</v>
      </c>
      <c r="L11" s="1">
        <f t="shared" si="7"/>
        <v>0.46666666666666667</v>
      </c>
      <c r="M11" s="1">
        <f t="shared" si="7"/>
        <v>0.47457627118644069</v>
      </c>
      <c r="N11" s="1">
        <f t="shared" si="7"/>
        <v>0.58333333333333337</v>
      </c>
      <c r="O11" s="1">
        <f t="shared" si="7"/>
        <v>0.48275862068965519</v>
      </c>
      <c r="P11" s="1">
        <f t="shared" si="7"/>
        <v>0.37209302325581389</v>
      </c>
      <c r="Q11" s="1">
        <f t="shared" si="7"/>
        <v>0.35555555555555551</v>
      </c>
      <c r="R11" s="1">
        <f t="shared" si="7"/>
        <v>0.38297872340425532</v>
      </c>
      <c r="S11" s="1">
        <f t="shared" si="7"/>
        <v>0.38297872340425532</v>
      </c>
      <c r="T11" s="5">
        <f t="shared" si="7"/>
        <v>0.36734693877551017</v>
      </c>
      <c r="U11" s="1">
        <f t="shared" si="7"/>
        <v>0.4</v>
      </c>
      <c r="V11" s="1">
        <f t="shared" si="7"/>
        <v>0.42307692307692313</v>
      </c>
      <c r="W11" s="1">
        <f t="shared" si="7"/>
        <v>0.42307692307692307</v>
      </c>
      <c r="X11" s="1">
        <f t="shared" si="7"/>
        <v>0.43137254901960781</v>
      </c>
      <c r="Y11" s="1">
        <f t="shared" si="7"/>
        <v>0.43137254901960781</v>
      </c>
      <c r="Z11" s="1">
        <f t="shared" si="7"/>
        <v>0.43137254901960781</v>
      </c>
      <c r="AA11" s="1">
        <f t="shared" si="7"/>
        <v>0.43137254901960781</v>
      </c>
      <c r="AB11" s="1">
        <f t="shared" si="7"/>
        <v>0.43137254901960781</v>
      </c>
      <c r="AC11" s="1">
        <f t="shared" si="7"/>
        <v>0.43137254901960781</v>
      </c>
      <c r="AD11" s="5">
        <f t="shared" si="7"/>
        <v>0.43137254901960781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1</v>
      </c>
      <c r="G12" s="1">
        <f t="shared" si="8"/>
        <v>0.98795180722891562</v>
      </c>
      <c r="H12" s="1">
        <f t="shared" si="8"/>
        <v>0.95783132530120485</v>
      </c>
      <c r="I12" s="1">
        <f t="shared" si="8"/>
        <v>0.95209580838323349</v>
      </c>
      <c r="J12" s="1">
        <f t="shared" si="8"/>
        <v>0.9337349397590361</v>
      </c>
      <c r="K12" s="1">
        <f t="shared" si="8"/>
        <v>0.92771084337349397</v>
      </c>
      <c r="L12" s="1">
        <f t="shared" si="8"/>
        <v>0.92771084337349397</v>
      </c>
      <c r="M12" s="1">
        <f t="shared" si="8"/>
        <v>0.9337349397590361</v>
      </c>
      <c r="N12" s="1">
        <f t="shared" si="8"/>
        <v>0.94318181818181823</v>
      </c>
      <c r="O12" s="1">
        <f t="shared" si="8"/>
        <v>0.93975903614457834</v>
      </c>
      <c r="P12" s="1">
        <f t="shared" si="8"/>
        <v>0.99397590361445787</v>
      </c>
      <c r="Q12" s="1">
        <f t="shared" si="8"/>
        <v>0.98192771084337349</v>
      </c>
      <c r="R12" s="1">
        <f t="shared" si="8"/>
        <v>0.97590361445783136</v>
      </c>
      <c r="S12" s="1">
        <f t="shared" si="8"/>
        <v>0.97590361445783136</v>
      </c>
      <c r="T12" s="5">
        <f t="shared" si="8"/>
        <v>0.96385542168674698</v>
      </c>
      <c r="U12" s="1">
        <f t="shared" si="8"/>
        <v>0.96385542168674698</v>
      </c>
      <c r="V12" s="1">
        <f t="shared" si="8"/>
        <v>0.95783132530120485</v>
      </c>
      <c r="W12" s="1">
        <f t="shared" si="8"/>
        <v>0.96363636363636362</v>
      </c>
      <c r="X12" s="1">
        <f t="shared" si="8"/>
        <v>0.96385542168674698</v>
      </c>
      <c r="Y12" s="1">
        <f t="shared" si="8"/>
        <v>0.96385542168674698</v>
      </c>
      <c r="Z12" s="1">
        <f t="shared" si="8"/>
        <v>0.96385542168674698</v>
      </c>
      <c r="AA12" s="1">
        <f t="shared" si="8"/>
        <v>0.96385542168674698</v>
      </c>
      <c r="AB12" s="1">
        <f t="shared" si="8"/>
        <v>0.96385542168674698</v>
      </c>
      <c r="AC12" s="1">
        <f t="shared" si="8"/>
        <v>0.96385542168674698</v>
      </c>
      <c r="AD12" s="5">
        <f t="shared" si="8"/>
        <v>0.96385542168674698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5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Cog-Pass_rf</vt:lpstr>
      <vt:lpstr>Cog-Dropout_rf</vt:lpstr>
      <vt:lpstr>Cog-Fail_rf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2024-07-07T11:24:32Z</dcterms:modified>
</cp:coreProperties>
</file>