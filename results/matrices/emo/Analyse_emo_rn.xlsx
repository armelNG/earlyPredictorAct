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emo\"/>
    </mc:Choice>
  </mc:AlternateContent>
  <xr:revisionPtr revIDLastSave="0" documentId="13_ncr:1_{A467FBDF-2C2D-4027-AD5C-6B120E48934E}" xr6:coauthVersionLast="47" xr6:coauthVersionMax="47" xr10:uidLastSave="{00000000-0000-0000-0000-000000000000}"/>
  <bookViews>
    <workbookView xWindow="-120" yWindow="-120" windowWidth="29040" windowHeight="17640" activeTab="2" xr2:uid="{26EEB946-AE10-4C80-93AD-87C66CBD13A1}"/>
  </bookViews>
  <sheets>
    <sheet name="Emo-Pass_rn" sheetId="1" r:id="rId1"/>
    <sheet name="Emo-Fail_rn" sheetId="5" r:id="rId2"/>
    <sheet name="Emo-Dropout_rn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5" l="1"/>
  <c r="AD12" i="5" s="1"/>
  <c r="AC5" i="5"/>
  <c r="W5" i="5"/>
  <c r="V5" i="5"/>
  <c r="Z5" i="1"/>
  <c r="Z6" i="1" s="1"/>
  <c r="R5" i="4"/>
  <c r="R6" i="4" s="1"/>
  <c r="C5" i="4"/>
  <c r="C12" i="4" s="1"/>
  <c r="B5" i="4"/>
  <c r="B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6" i="1" s="1"/>
  <c r="B7" i="1" s="1"/>
  <c r="B8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C12" i="5"/>
  <c r="AB5" i="5"/>
  <c r="AB12" i="5" s="1"/>
  <c r="AA5" i="5"/>
  <c r="AA6" i="5" s="1"/>
  <c r="Z5" i="5"/>
  <c r="Z12" i="5" s="1"/>
  <c r="Y5" i="5"/>
  <c r="Y12" i="5" s="1"/>
  <c r="X5" i="5"/>
  <c r="X12" i="5" s="1"/>
  <c r="W6" i="5"/>
  <c r="V6" i="5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6" i="1" s="1"/>
  <c r="AB5" i="1"/>
  <c r="AB12" i="1" s="1"/>
  <c r="AC5" i="1"/>
  <c r="AC6" i="1" s="1"/>
  <c r="AD5" i="1"/>
  <c r="AD6" i="1" s="1"/>
  <c r="H5" i="1"/>
  <c r="H12" i="1" s="1"/>
  <c r="M11" i="5" l="1"/>
  <c r="Q11" i="1"/>
  <c r="D6" i="4"/>
  <c r="D7" i="4" s="1"/>
  <c r="D8" i="4" s="1"/>
  <c r="AA11" i="1"/>
  <c r="S11" i="1"/>
  <c r="K7" i="1"/>
  <c r="K8" i="1" s="1"/>
  <c r="H11" i="1"/>
  <c r="AD11" i="5"/>
  <c r="AC11" i="5"/>
  <c r="AD7" i="1"/>
  <c r="AD8" i="1" s="1"/>
  <c r="AC11" i="1"/>
  <c r="Z7" i="1"/>
  <c r="Z8" i="1" s="1"/>
  <c r="Y11" i="1"/>
  <c r="X11" i="1"/>
  <c r="K11" i="1"/>
  <c r="B12" i="1"/>
  <c r="Y6" i="4"/>
  <c r="Y7" i="4" s="1"/>
  <c r="Y8" i="4" s="1"/>
  <c r="W6" i="4"/>
  <c r="W7" i="4" s="1"/>
  <c r="W8" i="4" s="1"/>
  <c r="I11" i="4"/>
  <c r="I12" i="4"/>
  <c r="F12" i="4"/>
  <c r="C6" i="4"/>
  <c r="C7" i="4" s="1"/>
  <c r="C8" i="4" s="1"/>
  <c r="B6" i="4"/>
  <c r="B7" i="4" s="1"/>
  <c r="B8" i="4" s="1"/>
  <c r="Y6" i="5"/>
  <c r="Y7" i="5" s="1"/>
  <c r="Y8" i="5" s="1"/>
  <c r="V11" i="5"/>
  <c r="Z11" i="5"/>
  <c r="AD11" i="1"/>
  <c r="AD12" i="1"/>
  <c r="Y7" i="1"/>
  <c r="Y8" i="1" s="1"/>
  <c r="Y12" i="1"/>
  <c r="W11" i="1"/>
  <c r="W7" i="1"/>
  <c r="W8" i="1" s="1"/>
  <c r="W12" i="1"/>
  <c r="V11" i="1"/>
  <c r="V7" i="1"/>
  <c r="V8" i="1" s="1"/>
  <c r="V12" i="1"/>
  <c r="U11" i="1"/>
  <c r="U7" i="1"/>
  <c r="U8" i="1" s="1"/>
  <c r="U12" i="1"/>
  <c r="T11" i="1"/>
  <c r="T12" i="1"/>
  <c r="S12" i="1"/>
  <c r="R11" i="1"/>
  <c r="O6" i="1"/>
  <c r="O7" i="1" s="1"/>
  <c r="O8" i="1" s="1"/>
  <c r="N11" i="1"/>
  <c r="N12" i="1"/>
  <c r="M11" i="1"/>
  <c r="M12" i="1"/>
  <c r="L11" i="1"/>
  <c r="L7" i="1"/>
  <c r="L8" i="1" s="1"/>
  <c r="J11" i="1"/>
  <c r="H6" i="1"/>
  <c r="H7" i="1" s="1"/>
  <c r="H8" i="1" s="1"/>
  <c r="E12" i="1"/>
  <c r="D6" i="1"/>
  <c r="D7" i="1" s="1"/>
  <c r="D8" i="1" s="1"/>
  <c r="C6" i="1"/>
  <c r="C7" i="1" s="1"/>
  <c r="C8" i="1" s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<sst xmlns="http://schemas.openxmlformats.org/spreadsheetml/2006/main" count="6042" uniqueCount="25">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</sst>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'Emo-Pass_rn'!$A$7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'Emo-Pass_rn'!$B$7:$AD$7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0.875</c:v>
                </c:pt>
                <c:pt idx="2">
                  <c:v>0.875</c:v>
                </c:pt>
                <c:pt idx="3">
                  <c:v>0.875</c:v>
                </c:pt>
                <c:pt idx="4">
                  <c:v>0.86</c:v>
                </c:pt>
                <c:pt idx="5">
                  <c:v>0.86</c:v>
                </c:pt>
                <c:pt idx="6">
                  <c:v>0.86499999999999999</c:v>
                </c:pt>
                <c:pt idx="7">
                  <c:v>0.86499999999999999</c:v>
                </c:pt>
                <c:pt idx="8">
                  <c:v>0.82</c:v>
                </c:pt>
                <c:pt idx="9">
                  <c:v>0.875</c:v>
                </c:pt>
                <c:pt idx="10">
                  <c:v>0.87</c:v>
                </c:pt>
                <c:pt idx="11">
                  <c:v>0.875</c:v>
                </c:pt>
                <c:pt idx="12">
                  <c:v>0.89</c:v>
                </c:pt>
                <c:pt idx="13">
                  <c:v>0.89</c:v>
                </c:pt>
                <c:pt idx="14">
                  <c:v>0.90500000000000003</c:v>
                </c:pt>
                <c:pt idx="15">
                  <c:v>0.91500000000000004</c:v>
                </c:pt>
                <c:pt idx="16">
                  <c:v>0.90500000000000003</c:v>
                </c:pt>
                <c:pt idx="17">
                  <c:v>0.91</c:v>
                </c:pt>
                <c:pt idx="18">
                  <c:v>0.91</c:v>
                </c:pt>
                <c:pt idx="19">
                  <c:v>0.90500000000000003</c:v>
                </c:pt>
                <c:pt idx="20">
                  <c:v>0.94499999999999995</c:v>
                </c:pt>
                <c:pt idx="21">
                  <c:v>0.94499999999999995</c:v>
                </c:pt>
                <c:pt idx="22">
                  <c:v>0.94499999999999995</c:v>
                </c:pt>
                <c:pt idx="23">
                  <c:v>0.94499999999999995</c:v>
                </c:pt>
                <c:pt idx="24">
                  <c:v>0.94499999999999995</c:v>
                </c:pt>
                <c:pt idx="25">
                  <c:v>0.94499999999999995</c:v>
                </c:pt>
                <c:pt idx="26">
                  <c:v>0.94499999999999995</c:v>
                </c:pt>
                <c:pt idx="27">
                  <c:v>0.95</c:v>
                </c:pt>
                <c:pt idx="28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'Emo-Pass_rn'!$A$9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'Emo-Pass_rn'!$B$9:$AD$9</c:f>
              <c:numCache>
                <c:formatCode>General</c:formatCode>
                <c:ptCount val="29"/>
                <c:pt idx="0">
                  <c:v>0.8936170212765957</c:v>
                </c:pt>
                <c:pt idx="1">
                  <c:v>0.8936170212765957</c:v>
                </c:pt>
                <c:pt idx="2">
                  <c:v>0.8936170212765957</c:v>
                </c:pt>
                <c:pt idx="3">
                  <c:v>0.9042553191489362</c:v>
                </c:pt>
                <c:pt idx="4">
                  <c:v>0.91489361702127658</c:v>
                </c:pt>
                <c:pt idx="5">
                  <c:v>0.92553191489361697</c:v>
                </c:pt>
                <c:pt idx="6">
                  <c:v>0.92553191489361697</c:v>
                </c:pt>
                <c:pt idx="7">
                  <c:v>0.91489361702127658</c:v>
                </c:pt>
                <c:pt idx="8">
                  <c:v>0.94680851063829785</c:v>
                </c:pt>
                <c:pt idx="9">
                  <c:v>0.94680851063829785</c:v>
                </c:pt>
                <c:pt idx="10">
                  <c:v>0.93617021276595747</c:v>
                </c:pt>
                <c:pt idx="11">
                  <c:v>0.94680851063829785</c:v>
                </c:pt>
                <c:pt idx="12">
                  <c:v>0.95744680851063835</c:v>
                </c:pt>
                <c:pt idx="13">
                  <c:v>0.95744680851063835</c:v>
                </c:pt>
                <c:pt idx="14">
                  <c:v>0.98936170212765961</c:v>
                </c:pt>
                <c:pt idx="15">
                  <c:v>1</c:v>
                </c:pt>
                <c:pt idx="16">
                  <c:v>0.97872340425531912</c:v>
                </c:pt>
                <c:pt idx="17">
                  <c:v>0.98936170212765961</c:v>
                </c:pt>
                <c:pt idx="18">
                  <c:v>0.97872340425531912</c:v>
                </c:pt>
                <c:pt idx="19">
                  <c:v>0.96808510638297873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0.98936170212765961</c:v>
                </c:pt>
                <c:pt idx="27">
                  <c:v>1</c:v>
                </c:pt>
                <c:pt idx="28">
                  <c:v>0.98936170212765961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'Emo-Pass_rn'!$A$10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'Emo-Pass_rn'!$B$10:$AD$10</c:f>
              <c:numCache>
                <c:formatCode>General</c:formatCode>
                <c:ptCount val="29"/>
                <c:pt idx="0">
                  <c:v>0.84848484848484851</c:v>
                </c:pt>
                <c:pt idx="1">
                  <c:v>0.84848484848484851</c:v>
                </c:pt>
                <c:pt idx="2">
                  <c:v>0.84848484848484851</c:v>
                </c:pt>
                <c:pt idx="3">
                  <c:v>0.84158415841584155</c:v>
                </c:pt>
                <c:pt idx="4">
                  <c:v>0.81132075471698117</c:v>
                </c:pt>
                <c:pt idx="5">
                  <c:v>0.80555555555555558</c:v>
                </c:pt>
                <c:pt idx="6">
                  <c:v>0.81308411214953269</c:v>
                </c:pt>
                <c:pt idx="7">
                  <c:v>0.81904761904761902</c:v>
                </c:pt>
                <c:pt idx="8">
                  <c:v>0.7416666666666667</c:v>
                </c:pt>
                <c:pt idx="9">
                  <c:v>0.8165137614678899</c:v>
                </c:pt>
                <c:pt idx="10">
                  <c:v>0.81481481481481477</c:v>
                </c:pt>
                <c:pt idx="11">
                  <c:v>0.8165137614678899</c:v>
                </c:pt>
                <c:pt idx="12">
                  <c:v>0.83333333333333337</c:v>
                </c:pt>
                <c:pt idx="13">
                  <c:v>0.83333333333333337</c:v>
                </c:pt>
                <c:pt idx="14">
                  <c:v>0.83783783783783783</c:v>
                </c:pt>
                <c:pt idx="15">
                  <c:v>0.84684684684684686</c:v>
                </c:pt>
                <c:pt idx="16">
                  <c:v>0.84403669724770647</c:v>
                </c:pt>
                <c:pt idx="17">
                  <c:v>0.84545454545454546</c:v>
                </c:pt>
                <c:pt idx="18">
                  <c:v>0.85185185185185186</c:v>
                </c:pt>
                <c:pt idx="19">
                  <c:v>0.85046728971962615</c:v>
                </c:pt>
                <c:pt idx="20">
                  <c:v>0.89523809523809528</c:v>
                </c:pt>
                <c:pt idx="21">
                  <c:v>0.89523809523809528</c:v>
                </c:pt>
                <c:pt idx="22">
                  <c:v>0.89523809523809528</c:v>
                </c:pt>
                <c:pt idx="23">
                  <c:v>0.89523809523809528</c:v>
                </c:pt>
                <c:pt idx="24">
                  <c:v>0.89523809523809528</c:v>
                </c:pt>
                <c:pt idx="25">
                  <c:v>0.89523809523809528</c:v>
                </c:pt>
                <c:pt idx="26">
                  <c:v>0.90291262135922334</c:v>
                </c:pt>
                <c:pt idx="27">
                  <c:v>0.90384615384615385</c:v>
                </c:pt>
                <c:pt idx="28">
                  <c:v>0.91176470588235292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'Emo-Pass_rn'!$A$11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'Emo-Pass_rn'!$B$11:$AD$11</c:f>
              <c:numCache>
                <c:formatCode>General</c:formatCode>
                <c:ptCount val="29"/>
                <c:pt idx="0">
                  <c:v>0.8704663212435233</c:v>
                </c:pt>
                <c:pt idx="1">
                  <c:v>0.8704663212435233</c:v>
                </c:pt>
                <c:pt idx="2">
                  <c:v>0.8704663212435233</c:v>
                </c:pt>
                <c:pt idx="3">
                  <c:v>0.87179487179487181</c:v>
                </c:pt>
                <c:pt idx="4">
                  <c:v>0.8600000000000001</c:v>
                </c:pt>
                <c:pt idx="5">
                  <c:v>0.86138613861386137</c:v>
                </c:pt>
                <c:pt idx="6">
                  <c:v>0.86567164179104472</c:v>
                </c:pt>
                <c:pt idx="7">
                  <c:v>0.86432160804020097</c:v>
                </c:pt>
                <c:pt idx="8">
                  <c:v>0.83177570093457953</c:v>
                </c:pt>
                <c:pt idx="9">
                  <c:v>0.87684729064039391</c:v>
                </c:pt>
                <c:pt idx="10">
                  <c:v>0.87128712871287128</c:v>
                </c:pt>
                <c:pt idx="11">
                  <c:v>0.87684729064039391</c:v>
                </c:pt>
                <c:pt idx="12">
                  <c:v>0.8910891089108911</c:v>
                </c:pt>
                <c:pt idx="13">
                  <c:v>0.8910891089108911</c:v>
                </c:pt>
                <c:pt idx="14">
                  <c:v>0.90731707317073174</c:v>
                </c:pt>
                <c:pt idx="15">
                  <c:v>0.91707317073170735</c:v>
                </c:pt>
                <c:pt idx="16">
                  <c:v>0.90640394088669951</c:v>
                </c:pt>
                <c:pt idx="17">
                  <c:v>0.91176470588235303</c:v>
                </c:pt>
                <c:pt idx="18">
                  <c:v>0.91089108910891081</c:v>
                </c:pt>
                <c:pt idx="19">
                  <c:v>0.90547263681592038</c:v>
                </c:pt>
                <c:pt idx="20">
                  <c:v>0.94472361809045236</c:v>
                </c:pt>
                <c:pt idx="21">
                  <c:v>0.94472361809045236</c:v>
                </c:pt>
                <c:pt idx="22">
                  <c:v>0.94472361809045236</c:v>
                </c:pt>
                <c:pt idx="23">
                  <c:v>0.94472361809045236</c:v>
                </c:pt>
                <c:pt idx="24">
                  <c:v>0.94472361809045236</c:v>
                </c:pt>
                <c:pt idx="25">
                  <c:v>0.94472361809045236</c:v>
                </c:pt>
                <c:pt idx="26">
                  <c:v>0.94416243654822329</c:v>
                </c:pt>
                <c:pt idx="27">
                  <c:v>0.9494949494949495</c:v>
                </c:pt>
                <c:pt idx="28">
                  <c:v>0.94897959183673464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'Emo-Pass_rn'!$A$12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'Emo-Pass_rn'!$B$12:$AD$12</c:f>
              <c:numCache>
                <c:formatCode>General</c:formatCode>
                <c:ptCount val="29"/>
                <c:pt idx="0">
                  <c:v>0.85849056603773588</c:v>
                </c:pt>
                <c:pt idx="1">
                  <c:v>0.85849056603773588</c:v>
                </c:pt>
                <c:pt idx="2">
                  <c:v>0.85849056603773588</c:v>
                </c:pt>
                <c:pt idx="3">
                  <c:v>0.84905660377358494</c:v>
                </c:pt>
                <c:pt idx="4">
                  <c:v>0.81132075471698117</c:v>
                </c:pt>
                <c:pt idx="5">
                  <c:v>0.80188679245283023</c:v>
                </c:pt>
                <c:pt idx="6">
                  <c:v>0.81132075471698117</c:v>
                </c:pt>
                <c:pt idx="7">
                  <c:v>0.82075471698113212</c:v>
                </c:pt>
                <c:pt idx="8">
                  <c:v>0.70754716981132071</c:v>
                </c:pt>
                <c:pt idx="9">
                  <c:v>0.81132075471698117</c:v>
                </c:pt>
                <c:pt idx="10">
                  <c:v>0.81132075471698117</c:v>
                </c:pt>
                <c:pt idx="11">
                  <c:v>0.81132075471698117</c:v>
                </c:pt>
                <c:pt idx="12">
                  <c:v>0.83018867924528306</c:v>
                </c:pt>
                <c:pt idx="13">
                  <c:v>0.83018867924528306</c:v>
                </c:pt>
                <c:pt idx="14">
                  <c:v>0.83018867924528306</c:v>
                </c:pt>
                <c:pt idx="15">
                  <c:v>0.839622641509434</c:v>
                </c:pt>
                <c:pt idx="16">
                  <c:v>0.839622641509434</c:v>
                </c:pt>
                <c:pt idx="17">
                  <c:v>0.839622641509434</c:v>
                </c:pt>
                <c:pt idx="18">
                  <c:v>0.84905660377358494</c:v>
                </c:pt>
                <c:pt idx="19">
                  <c:v>0.84905660377358494</c:v>
                </c:pt>
                <c:pt idx="20">
                  <c:v>0.89622641509433965</c:v>
                </c:pt>
                <c:pt idx="21">
                  <c:v>0.89622641509433965</c:v>
                </c:pt>
                <c:pt idx="22">
                  <c:v>0.89622641509433965</c:v>
                </c:pt>
                <c:pt idx="23">
                  <c:v>0.89622641509433965</c:v>
                </c:pt>
                <c:pt idx="24">
                  <c:v>0.89622641509433965</c:v>
                </c:pt>
                <c:pt idx="25">
                  <c:v>0.89622641509433965</c:v>
                </c:pt>
                <c:pt idx="26">
                  <c:v>0.90566037735849059</c:v>
                </c:pt>
                <c:pt idx="27">
                  <c:v>0.90566037735849059</c:v>
                </c:pt>
                <c:pt idx="28">
                  <c:v>0.91509433962264153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'Emo-Pass_rn'!$A$1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'Emo-Pass_rn'!$B$1:$AD$1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84</c:v>
                      </c:pt>
                      <c:pt idx="1">
                        <c:v>84</c:v>
                      </c:pt>
                      <c:pt idx="2">
                        <c:v>84</c:v>
                      </c:pt>
                      <c:pt idx="3">
                        <c:v>85</c:v>
                      </c:pt>
                      <c:pt idx="4">
                        <c:v>86</c:v>
                      </c:pt>
                      <c:pt idx="5">
                        <c:v>87</c:v>
                      </c:pt>
                      <c:pt idx="6">
                        <c:v>87</c:v>
                      </c:pt>
                      <c:pt idx="7">
                        <c:v>86</c:v>
                      </c:pt>
                      <c:pt idx="8">
                        <c:v>89</c:v>
                      </c:pt>
                      <c:pt idx="9">
                        <c:v>89</c:v>
                      </c:pt>
                      <c:pt idx="10">
                        <c:v>88</c:v>
                      </c:pt>
                      <c:pt idx="11">
                        <c:v>89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93</c:v>
                      </c:pt>
                      <c:pt idx="15">
                        <c:v>94</c:v>
                      </c:pt>
                      <c:pt idx="16">
                        <c:v>92</c:v>
                      </c:pt>
                      <c:pt idx="17">
                        <c:v>93</c:v>
                      </c:pt>
                      <c:pt idx="18">
                        <c:v>92</c:v>
                      </c:pt>
                      <c:pt idx="19">
                        <c:v>91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93</c:v>
                      </c:pt>
                      <c:pt idx="27">
                        <c:v>94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9</c:v>
                      </c:pt>
                      <c:pt idx="4">
                        <c:v>8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5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20</c:v>
                      </c:pt>
                      <c:pt idx="7">
                        <c:v>19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20</c:v>
                      </c:pt>
                      <c:pt idx="12">
                        <c:v>18</c:v>
                      </c:pt>
                      <c:pt idx="13">
                        <c:v>18</c:v>
                      </c:pt>
                      <c:pt idx="14">
                        <c:v>18</c:v>
                      </c:pt>
                      <c:pt idx="15">
                        <c:v>17</c:v>
                      </c:pt>
                      <c:pt idx="16">
                        <c:v>17</c:v>
                      </c:pt>
                      <c:pt idx="17">
                        <c:v>17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11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6">
                        <c:v>10</c:v>
                      </c:pt>
                      <c:pt idx="27">
                        <c:v>10</c:v>
                      </c:pt>
                      <c:pt idx="28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91</c:v>
                      </c:pt>
                      <c:pt idx="1">
                        <c:v>91</c:v>
                      </c:pt>
                      <c:pt idx="2">
                        <c:v>91</c:v>
                      </c:pt>
                      <c:pt idx="3">
                        <c:v>90</c:v>
                      </c:pt>
                      <c:pt idx="4">
                        <c:v>86</c:v>
                      </c:pt>
                      <c:pt idx="5">
                        <c:v>85</c:v>
                      </c:pt>
                      <c:pt idx="6">
                        <c:v>86</c:v>
                      </c:pt>
                      <c:pt idx="7">
                        <c:v>87</c:v>
                      </c:pt>
                      <c:pt idx="8">
                        <c:v>75</c:v>
                      </c:pt>
                      <c:pt idx="9">
                        <c:v>86</c:v>
                      </c:pt>
                      <c:pt idx="10">
                        <c:v>86</c:v>
                      </c:pt>
                      <c:pt idx="11">
                        <c:v>86</c:v>
                      </c:pt>
                      <c:pt idx="12">
                        <c:v>88</c:v>
                      </c:pt>
                      <c:pt idx="13">
                        <c:v>88</c:v>
                      </c:pt>
                      <c:pt idx="14">
                        <c:v>88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90</c:v>
                      </c:pt>
                      <c:pt idx="19">
                        <c:v>90</c:v>
                      </c:pt>
                      <c:pt idx="20">
                        <c:v>95</c:v>
                      </c:pt>
                      <c:pt idx="21">
                        <c:v>95</c:v>
                      </c:pt>
                      <c:pt idx="22">
                        <c:v>95</c:v>
                      </c:pt>
                      <c:pt idx="23">
                        <c:v>95</c:v>
                      </c:pt>
                      <c:pt idx="24">
                        <c:v>95</c:v>
                      </c:pt>
                      <c:pt idx="25">
                        <c:v>95</c:v>
                      </c:pt>
                      <c:pt idx="26">
                        <c:v>96</c:v>
                      </c:pt>
                      <c:pt idx="27">
                        <c:v>96</c:v>
                      </c:pt>
                      <c:pt idx="28">
                        <c:v>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0.125</c:v>
                      </c:pt>
                      <c:pt idx="2">
                        <c:v>0.125</c:v>
                      </c:pt>
                      <c:pt idx="3">
                        <c:v>0.125</c:v>
                      </c:pt>
                      <c:pt idx="4">
                        <c:v>0.14000000000000001</c:v>
                      </c:pt>
                      <c:pt idx="5">
                        <c:v>0.14000000000000001</c:v>
                      </c:pt>
                      <c:pt idx="6">
                        <c:v>0.13500000000000001</c:v>
                      </c:pt>
                      <c:pt idx="7">
                        <c:v>0.13500000000000001</c:v>
                      </c:pt>
                      <c:pt idx="8">
                        <c:v>0.18000000000000005</c:v>
                      </c:pt>
                      <c:pt idx="9">
                        <c:v>0.125</c:v>
                      </c:pt>
                      <c:pt idx="10">
                        <c:v>0.13</c:v>
                      </c:pt>
                      <c:pt idx="11">
                        <c:v>0.125</c:v>
                      </c:pt>
                      <c:pt idx="12">
                        <c:v>0.10999999999999999</c:v>
                      </c:pt>
                      <c:pt idx="13">
                        <c:v>0.10999999999999999</c:v>
                      </c:pt>
                      <c:pt idx="14">
                        <c:v>9.4999999999999973E-2</c:v>
                      </c:pt>
                      <c:pt idx="15">
                        <c:v>8.4999999999999964E-2</c:v>
                      </c:pt>
                      <c:pt idx="16">
                        <c:v>9.4999999999999973E-2</c:v>
                      </c:pt>
                      <c:pt idx="17">
                        <c:v>8.9999999999999969E-2</c:v>
                      </c:pt>
                      <c:pt idx="18">
                        <c:v>8.9999999999999969E-2</c:v>
                      </c:pt>
                      <c:pt idx="19">
                        <c:v>9.4999999999999973E-2</c:v>
                      </c:pt>
                      <c:pt idx="20">
                        <c:v>5.5000000000000049E-2</c:v>
                      </c:pt>
                      <c:pt idx="21">
                        <c:v>5.5000000000000049E-2</c:v>
                      </c:pt>
                      <c:pt idx="22">
                        <c:v>5.5000000000000049E-2</c:v>
                      </c:pt>
                      <c:pt idx="23">
                        <c:v>5.5000000000000049E-2</c:v>
                      </c:pt>
                      <c:pt idx="24">
                        <c:v>5.5000000000000049E-2</c:v>
                      </c:pt>
                      <c:pt idx="25">
                        <c:v>5.5000000000000049E-2</c:v>
                      </c:pt>
                      <c:pt idx="26">
                        <c:v>5.5000000000000049E-2</c:v>
                      </c:pt>
                      <c:pt idx="27">
                        <c:v>5.0000000000000044E-2</c:v>
                      </c:pt>
                      <c:pt idx="28">
                        <c:v>5.0000000000000044E-2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100000000000000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'Emo-Fail_rn'!$A$7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'Emo-Fail_rn'!$B$7:$AD$7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0.80500000000000005</c:v>
                </c:pt>
                <c:pt idx="5">
                  <c:v>0.82</c:v>
                </c:pt>
                <c:pt idx="6">
                  <c:v>0.81</c:v>
                </c:pt>
                <c:pt idx="7">
                  <c:v>0.81499999999999995</c:v>
                </c:pt>
                <c:pt idx="8">
                  <c:v>0.82499999999999996</c:v>
                </c:pt>
                <c:pt idx="9">
                  <c:v>0.81499999999999995</c:v>
                </c:pt>
                <c:pt idx="10">
                  <c:v>0.81</c:v>
                </c:pt>
                <c:pt idx="11">
                  <c:v>0.82</c:v>
                </c:pt>
                <c:pt idx="12">
                  <c:v>0.81499999999999995</c:v>
                </c:pt>
                <c:pt idx="13">
                  <c:v>0.81499999999999995</c:v>
                </c:pt>
                <c:pt idx="14">
                  <c:v>0.83</c:v>
                </c:pt>
                <c:pt idx="15">
                  <c:v>0.81</c:v>
                </c:pt>
                <c:pt idx="16">
                  <c:v>0.81499999999999995</c:v>
                </c:pt>
                <c:pt idx="17">
                  <c:v>0.82</c:v>
                </c:pt>
                <c:pt idx="18">
                  <c:v>0.81</c:v>
                </c:pt>
                <c:pt idx="19">
                  <c:v>0.86</c:v>
                </c:pt>
                <c:pt idx="20">
                  <c:v>0.84</c:v>
                </c:pt>
                <c:pt idx="21">
                  <c:v>0.83</c:v>
                </c:pt>
                <c:pt idx="22">
                  <c:v>0.84499999999999997</c:v>
                </c:pt>
                <c:pt idx="23">
                  <c:v>0.84</c:v>
                </c:pt>
                <c:pt idx="24">
                  <c:v>0.82499999999999996</c:v>
                </c:pt>
                <c:pt idx="25">
                  <c:v>0.84499999999999997</c:v>
                </c:pt>
                <c:pt idx="26">
                  <c:v>0.81</c:v>
                </c:pt>
                <c:pt idx="27">
                  <c:v>0.82499999999999996</c:v>
                </c:pt>
                <c:pt idx="28">
                  <c:v>0.83499999999999996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'Emo-Fail_rn'!$A$9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'Emo-Fail_rn'!$B$9:$AD$9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8.8235294117647065E-2</c:v>
                </c:pt>
                <c:pt idx="5">
                  <c:v>8.8235294117647065E-2</c:v>
                </c:pt>
                <c:pt idx="6">
                  <c:v>5.8823529411764705E-2</c:v>
                </c:pt>
                <c:pt idx="7">
                  <c:v>5.8823529411764705E-2</c:v>
                </c:pt>
                <c:pt idx="8">
                  <c:v>8.8235294117647065E-2</c:v>
                </c:pt>
                <c:pt idx="9">
                  <c:v>8.8235294117647065E-2</c:v>
                </c:pt>
                <c:pt idx="10">
                  <c:v>5.8823529411764705E-2</c:v>
                </c:pt>
                <c:pt idx="11">
                  <c:v>8.8235294117647065E-2</c:v>
                </c:pt>
                <c:pt idx="12">
                  <c:v>5.8823529411764705E-2</c:v>
                </c:pt>
                <c:pt idx="13">
                  <c:v>5.8823529411764705E-2</c:v>
                </c:pt>
                <c:pt idx="14">
                  <c:v>0</c:v>
                </c:pt>
                <c:pt idx="15">
                  <c:v>8.8235294117647065E-2</c:v>
                </c:pt>
                <c:pt idx="16">
                  <c:v>0</c:v>
                </c:pt>
                <c:pt idx="17">
                  <c:v>0</c:v>
                </c:pt>
                <c:pt idx="18">
                  <c:v>8.8235294117647065E-2</c:v>
                </c:pt>
                <c:pt idx="19">
                  <c:v>0.125</c:v>
                </c:pt>
                <c:pt idx="20">
                  <c:v>8.8235294117647065E-2</c:v>
                </c:pt>
                <c:pt idx="21">
                  <c:v>0.17647058823529413</c:v>
                </c:pt>
                <c:pt idx="22">
                  <c:v>0.17647058823529413</c:v>
                </c:pt>
                <c:pt idx="23">
                  <c:v>0.14705882352941177</c:v>
                </c:pt>
                <c:pt idx="24">
                  <c:v>0.17647058823529413</c:v>
                </c:pt>
                <c:pt idx="25">
                  <c:v>0.14705882352941177</c:v>
                </c:pt>
                <c:pt idx="26">
                  <c:v>0.17647058823529413</c:v>
                </c:pt>
                <c:pt idx="27">
                  <c:v>0.17647058823529413</c:v>
                </c:pt>
                <c:pt idx="28">
                  <c:v>0.14705882352941177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'Emo-Fail_rn'!$A$10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'Emo-Fail_rn'!$B$10:$AD$10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0.27272727272727271</c:v>
                </c:pt>
                <c:pt idx="5">
                  <c:v>0.375</c:v>
                </c:pt>
                <c:pt idx="6">
                  <c:v>0.25</c:v>
                </c:pt>
                <c:pt idx="7">
                  <c:v>0.2857142857142857</c:v>
                </c:pt>
                <c:pt idx="8">
                  <c:v>0.42857142857142855</c:v>
                </c:pt>
                <c:pt idx="9">
                  <c:v>0.33333333333333331</c:v>
                </c:pt>
                <c:pt idx="10">
                  <c:v>0.25</c:v>
                </c:pt>
                <c:pt idx="11">
                  <c:v>0.375</c:v>
                </c:pt>
                <c:pt idx="12">
                  <c:v>0.2857142857142857</c:v>
                </c:pt>
                <c:pt idx="13">
                  <c:v>0.2857142857142857</c:v>
                </c:pt>
                <c:pt idx="14">
                  <c:v>0</c:v>
                </c:pt>
                <c:pt idx="15">
                  <c:v>0.3</c:v>
                </c:pt>
                <c:pt idx="16">
                  <c:v>0</c:v>
                </c:pt>
                <c:pt idx="17">
                  <c:v>0</c:v>
                </c:pt>
                <c:pt idx="18">
                  <c:v>0.3</c:v>
                </c:pt>
                <c:pt idx="19">
                  <c:v>0.3</c:v>
                </c:pt>
                <c:pt idx="20">
                  <c:v>0.75</c:v>
                </c:pt>
                <c:pt idx="21">
                  <c:v>0.5</c:v>
                </c:pt>
                <c:pt idx="22">
                  <c:v>0.66666666666666663</c:v>
                </c:pt>
                <c:pt idx="23">
                  <c:v>0.625</c:v>
                </c:pt>
                <c:pt idx="24">
                  <c:v>0.46153846153846156</c:v>
                </c:pt>
                <c:pt idx="25">
                  <c:v>0.7142857142857143</c:v>
                </c:pt>
                <c:pt idx="26">
                  <c:v>0.375</c:v>
                </c:pt>
                <c:pt idx="27">
                  <c:v>0.46153846153846156</c:v>
                </c:pt>
                <c:pt idx="28">
                  <c:v>0.55555555555555558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'Emo-Fail_rn'!$A$11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'Emo-Fail_rn'!$B$11:$AD$11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0.13333333333333333</c:v>
                </c:pt>
                <c:pt idx="5">
                  <c:v>0.14285714285714285</c:v>
                </c:pt>
                <c:pt idx="6">
                  <c:v>9.5238095238095233E-2</c:v>
                </c:pt>
                <c:pt idx="7">
                  <c:v>9.7560975609756101E-2</c:v>
                </c:pt>
                <c:pt idx="8">
                  <c:v>0.14634146341463417</c:v>
                </c:pt>
                <c:pt idx="9">
                  <c:v>0.13953488372093023</c:v>
                </c:pt>
                <c:pt idx="10">
                  <c:v>9.5238095238095233E-2</c:v>
                </c:pt>
                <c:pt idx="11">
                  <c:v>0.14285714285714285</c:v>
                </c:pt>
                <c:pt idx="12">
                  <c:v>9.7560975609756101E-2</c:v>
                </c:pt>
                <c:pt idx="13">
                  <c:v>9.7560975609756101E-2</c:v>
                </c:pt>
                <c:pt idx="14">
                  <c:v>0</c:v>
                </c:pt>
                <c:pt idx="15">
                  <c:v>0.13636363636363635</c:v>
                </c:pt>
                <c:pt idx="16">
                  <c:v>0</c:v>
                </c:pt>
                <c:pt idx="17">
                  <c:v>0</c:v>
                </c:pt>
                <c:pt idx="18">
                  <c:v>0.13636363636363635</c:v>
                </c:pt>
                <c:pt idx="19">
                  <c:v>0.17647058823529413</c:v>
                </c:pt>
                <c:pt idx="20">
                  <c:v>0.15789473684210525</c:v>
                </c:pt>
                <c:pt idx="21">
                  <c:v>0.2608695652173913</c:v>
                </c:pt>
                <c:pt idx="22">
                  <c:v>0.27906976744186046</c:v>
                </c:pt>
                <c:pt idx="23">
                  <c:v>0.23809523809523811</c:v>
                </c:pt>
                <c:pt idx="24">
                  <c:v>0.25531914893617025</c:v>
                </c:pt>
                <c:pt idx="25">
                  <c:v>0.24390243902439024</c:v>
                </c:pt>
                <c:pt idx="26">
                  <c:v>0.24</c:v>
                </c:pt>
                <c:pt idx="27">
                  <c:v>0.25531914893617025</c:v>
                </c:pt>
                <c:pt idx="28">
                  <c:v>0.23255813953488372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'Emo-Fail_rn'!$A$12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'Emo-Fail_rn'!$B$12:$AD$12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0.95180722891566261</c:v>
                </c:pt>
                <c:pt idx="5">
                  <c:v>0.96987951807228912</c:v>
                </c:pt>
                <c:pt idx="6">
                  <c:v>0.96385542168674698</c:v>
                </c:pt>
                <c:pt idx="7">
                  <c:v>0.96987951807228912</c:v>
                </c:pt>
                <c:pt idx="8">
                  <c:v>0.97590361445783136</c:v>
                </c:pt>
                <c:pt idx="9">
                  <c:v>0.96385542168674698</c:v>
                </c:pt>
                <c:pt idx="10">
                  <c:v>0.96385542168674698</c:v>
                </c:pt>
                <c:pt idx="11">
                  <c:v>0.96987951807228912</c:v>
                </c:pt>
                <c:pt idx="12">
                  <c:v>0.96987951807228912</c:v>
                </c:pt>
                <c:pt idx="13">
                  <c:v>0.96987951807228912</c:v>
                </c:pt>
                <c:pt idx="14">
                  <c:v>1</c:v>
                </c:pt>
                <c:pt idx="15">
                  <c:v>0.95783132530120485</c:v>
                </c:pt>
                <c:pt idx="16">
                  <c:v>0.98192771084337349</c:v>
                </c:pt>
                <c:pt idx="17">
                  <c:v>0.98795180722891562</c:v>
                </c:pt>
                <c:pt idx="18">
                  <c:v>0.95783132530120485</c:v>
                </c:pt>
                <c:pt idx="19">
                  <c:v>0.96022727272727271</c:v>
                </c:pt>
                <c:pt idx="20">
                  <c:v>0.99397590361445787</c:v>
                </c:pt>
                <c:pt idx="21">
                  <c:v>0.96385542168674698</c:v>
                </c:pt>
                <c:pt idx="22">
                  <c:v>0.98192771084337349</c:v>
                </c:pt>
                <c:pt idx="23">
                  <c:v>0.98192771084337349</c:v>
                </c:pt>
                <c:pt idx="24">
                  <c:v>0.95783132530120485</c:v>
                </c:pt>
                <c:pt idx="25">
                  <c:v>0.98795180722891562</c:v>
                </c:pt>
                <c:pt idx="26">
                  <c:v>0.93975903614457834</c:v>
                </c:pt>
                <c:pt idx="27">
                  <c:v>0.95783132530120485</c:v>
                </c:pt>
                <c:pt idx="28">
                  <c:v>0.97590361445783136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'Emo-Fail_rn'!$A$1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'Emo-Fail_rn'!$B$1:$AD$1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0</c:v>
                      </c:pt>
                      <c:pt idx="15">
                        <c:v>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5</c:v>
                      </c:pt>
                      <c:pt idx="24">
                        <c:v>6</c:v>
                      </c:pt>
                      <c:pt idx="25">
                        <c:v>5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31</c:v>
                      </c:pt>
                      <c:pt idx="5">
                        <c:v>31</c:v>
                      </c:pt>
                      <c:pt idx="6">
                        <c:v>32</c:v>
                      </c:pt>
                      <c:pt idx="7">
                        <c:v>32</c:v>
                      </c:pt>
                      <c:pt idx="8">
                        <c:v>31</c:v>
                      </c:pt>
                      <c:pt idx="9">
                        <c:v>31</c:v>
                      </c:pt>
                      <c:pt idx="10">
                        <c:v>32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32</c:v>
                      </c:pt>
                      <c:pt idx="14">
                        <c:v>34</c:v>
                      </c:pt>
                      <c:pt idx="15">
                        <c:v>31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31</c:v>
                      </c:pt>
                      <c:pt idx="19">
                        <c:v>21</c:v>
                      </c:pt>
                      <c:pt idx="20">
                        <c:v>31</c:v>
                      </c:pt>
                      <c:pt idx="21">
                        <c:v>28</c:v>
                      </c:pt>
                      <c:pt idx="22">
                        <c:v>28</c:v>
                      </c:pt>
                      <c:pt idx="23">
                        <c:v>29</c:v>
                      </c:pt>
                      <c:pt idx="24">
                        <c:v>28</c:v>
                      </c:pt>
                      <c:pt idx="25">
                        <c:v>29</c:v>
                      </c:pt>
                      <c:pt idx="26">
                        <c:v>28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8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5</c:v>
                      </c:pt>
                      <c:pt idx="8">
                        <c:v>4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0</c:v>
                      </c:pt>
                      <c:pt idx="15">
                        <c:v>7</c:v>
                      </c:pt>
                      <c:pt idx="16">
                        <c:v>3</c:v>
                      </c:pt>
                      <c:pt idx="17">
                        <c:v>2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1</c:v>
                      </c:pt>
                      <c:pt idx="21">
                        <c:v>6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7</c:v>
                      </c:pt>
                      <c:pt idx="25">
                        <c:v>2</c:v>
                      </c:pt>
                      <c:pt idx="26">
                        <c:v>10</c:v>
                      </c:pt>
                      <c:pt idx="27">
                        <c:v>7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158</c:v>
                      </c:pt>
                      <c:pt idx="5">
                        <c:v>161</c:v>
                      </c:pt>
                      <c:pt idx="6">
                        <c:v>160</c:v>
                      </c:pt>
                      <c:pt idx="7">
                        <c:v>161</c:v>
                      </c:pt>
                      <c:pt idx="8">
                        <c:v>162</c:v>
                      </c:pt>
                      <c:pt idx="9">
                        <c:v>160</c:v>
                      </c:pt>
                      <c:pt idx="10">
                        <c:v>160</c:v>
                      </c:pt>
                      <c:pt idx="11">
                        <c:v>161</c:v>
                      </c:pt>
                      <c:pt idx="12">
                        <c:v>161</c:v>
                      </c:pt>
                      <c:pt idx="13">
                        <c:v>161</c:v>
                      </c:pt>
                      <c:pt idx="14">
                        <c:v>166</c:v>
                      </c:pt>
                      <c:pt idx="15">
                        <c:v>159</c:v>
                      </c:pt>
                      <c:pt idx="16">
                        <c:v>163</c:v>
                      </c:pt>
                      <c:pt idx="17">
                        <c:v>164</c:v>
                      </c:pt>
                      <c:pt idx="18">
                        <c:v>159</c:v>
                      </c:pt>
                      <c:pt idx="19">
                        <c:v>169</c:v>
                      </c:pt>
                      <c:pt idx="20">
                        <c:v>165</c:v>
                      </c:pt>
                      <c:pt idx="21">
                        <c:v>160</c:v>
                      </c:pt>
                      <c:pt idx="22">
                        <c:v>163</c:v>
                      </c:pt>
                      <c:pt idx="23">
                        <c:v>163</c:v>
                      </c:pt>
                      <c:pt idx="24">
                        <c:v>159</c:v>
                      </c:pt>
                      <c:pt idx="25">
                        <c:v>164</c:v>
                      </c:pt>
                      <c:pt idx="26">
                        <c:v>156</c:v>
                      </c:pt>
                      <c:pt idx="27">
                        <c:v>159</c:v>
                      </c:pt>
                      <c:pt idx="28">
                        <c:v>162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0.19499999999999995</c:v>
                      </c:pt>
                      <c:pt idx="5">
                        <c:v>0.18000000000000005</c:v>
                      </c:pt>
                      <c:pt idx="6">
                        <c:v>0.18999999999999995</c:v>
                      </c:pt>
                      <c:pt idx="7">
                        <c:v>0.18500000000000005</c:v>
                      </c:pt>
                      <c:pt idx="8">
                        <c:v>0.17500000000000004</c:v>
                      </c:pt>
                      <c:pt idx="9">
                        <c:v>0.18500000000000005</c:v>
                      </c:pt>
                      <c:pt idx="10">
                        <c:v>0.18999999999999995</c:v>
                      </c:pt>
                      <c:pt idx="11">
                        <c:v>0.18000000000000005</c:v>
                      </c:pt>
                      <c:pt idx="12">
                        <c:v>0.18500000000000005</c:v>
                      </c:pt>
                      <c:pt idx="13">
                        <c:v>0.18500000000000005</c:v>
                      </c:pt>
                      <c:pt idx="14">
                        <c:v>0.17000000000000004</c:v>
                      </c:pt>
                      <c:pt idx="15">
                        <c:v>0.18999999999999995</c:v>
                      </c:pt>
                      <c:pt idx="16">
                        <c:v>0.18500000000000005</c:v>
                      </c:pt>
                      <c:pt idx="17">
                        <c:v>0.18000000000000005</c:v>
                      </c:pt>
                      <c:pt idx="18">
                        <c:v>0.18999999999999995</c:v>
                      </c:pt>
                      <c:pt idx="19">
                        <c:v>0.14000000000000001</c:v>
                      </c:pt>
                      <c:pt idx="20">
                        <c:v>0.16000000000000003</c:v>
                      </c:pt>
                      <c:pt idx="21">
                        <c:v>0.17000000000000004</c:v>
                      </c:pt>
                      <c:pt idx="22">
                        <c:v>0.15500000000000003</c:v>
                      </c:pt>
                      <c:pt idx="23">
                        <c:v>0.16000000000000003</c:v>
                      </c:pt>
                      <c:pt idx="24">
                        <c:v>0.17500000000000004</c:v>
                      </c:pt>
                      <c:pt idx="25">
                        <c:v>0.15500000000000003</c:v>
                      </c:pt>
                      <c:pt idx="26">
                        <c:v>0.18999999999999995</c:v>
                      </c:pt>
                      <c:pt idx="27">
                        <c:v>0.17500000000000004</c:v>
                      </c:pt>
                      <c:pt idx="28">
                        <c:v>0.16500000000000004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'Emo-Dropout_rn'!$A$7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'Emo-Dropout_rn'!$B$7:$AD$7</c:f>
              <c:numCache>
                <c:formatCode>General</c:formatCode>
                <c:ptCount val="29"/>
                <c:pt idx="0">
                  <c:v>0.81499999999999995</c:v>
                </c:pt>
                <c:pt idx="1">
                  <c:v>0.81</c:v>
                </c:pt>
                <c:pt idx="2">
                  <c:v>0.82</c:v>
                </c:pt>
                <c:pt idx="3">
                  <c:v>0.77500000000000002</c:v>
                </c:pt>
                <c:pt idx="4">
                  <c:v>0.83</c:v>
                </c:pt>
                <c:pt idx="5">
                  <c:v>0.83</c:v>
                </c:pt>
                <c:pt idx="6">
                  <c:v>0.81499999999999995</c:v>
                </c:pt>
                <c:pt idx="7">
                  <c:v>0.83</c:v>
                </c:pt>
                <c:pt idx="8">
                  <c:v>0.84499999999999997</c:v>
                </c:pt>
                <c:pt idx="9">
                  <c:v>0.84</c:v>
                </c:pt>
                <c:pt idx="10">
                  <c:v>0.83</c:v>
                </c:pt>
                <c:pt idx="11">
                  <c:v>0.84</c:v>
                </c:pt>
                <c:pt idx="12">
                  <c:v>0.83499999999999996</c:v>
                </c:pt>
                <c:pt idx="13">
                  <c:v>0.83499999999999996</c:v>
                </c:pt>
                <c:pt idx="14">
                  <c:v>0.875</c:v>
                </c:pt>
                <c:pt idx="15">
                  <c:v>0.86499999999999999</c:v>
                </c:pt>
                <c:pt idx="16">
                  <c:v>0.87</c:v>
                </c:pt>
                <c:pt idx="17">
                  <c:v>0.87</c:v>
                </c:pt>
                <c:pt idx="18">
                  <c:v>0.86</c:v>
                </c:pt>
                <c:pt idx="19">
                  <c:v>0.86499999999999999</c:v>
                </c:pt>
                <c:pt idx="20">
                  <c:v>0.875</c:v>
                </c:pt>
                <c:pt idx="21">
                  <c:v>0.86499999999999999</c:v>
                </c:pt>
                <c:pt idx="22">
                  <c:v>0.88</c:v>
                </c:pt>
                <c:pt idx="23">
                  <c:v>0.88</c:v>
                </c:pt>
                <c:pt idx="24">
                  <c:v>0.86</c:v>
                </c:pt>
                <c:pt idx="25">
                  <c:v>0.88500000000000001</c:v>
                </c:pt>
                <c:pt idx="26">
                  <c:v>0.85499999999999998</c:v>
                </c:pt>
                <c:pt idx="27">
                  <c:v>0.86499999999999999</c:v>
                </c:pt>
                <c:pt idx="28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'Emo-Dropout_rn'!$A$9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'Emo-Dropout_rn'!$B$9:$AD$9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0.94444444444444442</c:v>
                </c:pt>
                <c:pt idx="3">
                  <c:v>0.83333333333333337</c:v>
                </c:pt>
                <c:pt idx="4">
                  <c:v>0.84722222222222221</c:v>
                </c:pt>
                <c:pt idx="5">
                  <c:v>0.84722222222222221</c:v>
                </c:pt>
                <c:pt idx="6">
                  <c:v>0.83333333333333337</c:v>
                </c:pt>
                <c:pt idx="7">
                  <c:v>0.875</c:v>
                </c:pt>
                <c:pt idx="8">
                  <c:v>0.84722222222222221</c:v>
                </c:pt>
                <c:pt idx="9">
                  <c:v>0.84722222222222221</c:v>
                </c:pt>
                <c:pt idx="10">
                  <c:v>0.84722222222222221</c:v>
                </c:pt>
                <c:pt idx="11">
                  <c:v>0.84931506849315064</c:v>
                </c:pt>
                <c:pt idx="12">
                  <c:v>0.86111111111111116</c:v>
                </c:pt>
                <c:pt idx="13">
                  <c:v>0.86111111111111116</c:v>
                </c:pt>
                <c:pt idx="14">
                  <c:v>0.94444444444444442</c:v>
                </c:pt>
                <c:pt idx="15">
                  <c:v>0.86111111111111116</c:v>
                </c:pt>
                <c:pt idx="16">
                  <c:v>0.93055555555555558</c:v>
                </c:pt>
                <c:pt idx="17">
                  <c:v>0.93055555555555558</c:v>
                </c:pt>
                <c:pt idx="18">
                  <c:v>0.875</c:v>
                </c:pt>
                <c:pt idx="19">
                  <c:v>0.88888888888888884</c:v>
                </c:pt>
                <c:pt idx="20">
                  <c:v>0.95833333333333337</c:v>
                </c:pt>
                <c:pt idx="21">
                  <c:v>0.88888888888888884</c:v>
                </c:pt>
                <c:pt idx="22">
                  <c:v>0.93055555555555558</c:v>
                </c:pt>
                <c:pt idx="23">
                  <c:v>0.94444444444444442</c:v>
                </c:pt>
                <c:pt idx="24">
                  <c:v>0.875</c:v>
                </c:pt>
                <c:pt idx="25">
                  <c:v>0.95833333333333337</c:v>
                </c:pt>
                <c:pt idx="26">
                  <c:v>0.86111111111111116</c:v>
                </c:pt>
                <c:pt idx="27">
                  <c:v>0.88888888888888884</c:v>
                </c:pt>
                <c:pt idx="28">
                  <c:v>0.94444444444444442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'Emo-Dropout_rn'!$A$10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'Emo-Dropout_rn'!$B$10:$AD$10</c:f>
              <c:numCache>
                <c:formatCode>General</c:formatCode>
                <c:ptCount val="29"/>
                <c:pt idx="0">
                  <c:v>0.67326732673267331</c:v>
                </c:pt>
                <c:pt idx="1">
                  <c:v>0.66666666666666663</c:v>
                </c:pt>
                <c:pt idx="2">
                  <c:v>0.68</c:v>
                </c:pt>
                <c:pt idx="3">
                  <c:v>0.64516129032258063</c:v>
                </c:pt>
                <c:pt idx="4">
                  <c:v>0.72619047619047616</c:v>
                </c:pt>
                <c:pt idx="5">
                  <c:v>0.72619047619047616</c:v>
                </c:pt>
                <c:pt idx="6">
                  <c:v>0.70588235294117652</c:v>
                </c:pt>
                <c:pt idx="7">
                  <c:v>0.71590909090909094</c:v>
                </c:pt>
                <c:pt idx="8">
                  <c:v>0.75308641975308643</c:v>
                </c:pt>
                <c:pt idx="9">
                  <c:v>0.74390243902439024</c:v>
                </c:pt>
                <c:pt idx="10">
                  <c:v>0.72619047619047616</c:v>
                </c:pt>
                <c:pt idx="11">
                  <c:v>0.74698795180722888</c:v>
                </c:pt>
                <c:pt idx="12">
                  <c:v>0.72941176470588232</c:v>
                </c:pt>
                <c:pt idx="13">
                  <c:v>0.72941176470588232</c:v>
                </c:pt>
                <c:pt idx="14">
                  <c:v>0.7640449438202247</c:v>
                </c:pt>
                <c:pt idx="15">
                  <c:v>0.78481012658227844</c:v>
                </c:pt>
                <c:pt idx="16">
                  <c:v>0.76136363636363635</c:v>
                </c:pt>
                <c:pt idx="17">
                  <c:v>0.76136363636363635</c:v>
                </c:pt>
                <c:pt idx="18">
                  <c:v>0.76829268292682928</c:v>
                </c:pt>
                <c:pt idx="19">
                  <c:v>0.77108433734939763</c:v>
                </c:pt>
                <c:pt idx="20">
                  <c:v>0.75824175824175821</c:v>
                </c:pt>
                <c:pt idx="21">
                  <c:v>0.77108433734939763</c:v>
                </c:pt>
                <c:pt idx="22">
                  <c:v>0.77906976744186052</c:v>
                </c:pt>
                <c:pt idx="23">
                  <c:v>0.77272727272727271</c:v>
                </c:pt>
                <c:pt idx="24">
                  <c:v>0.76829268292682928</c:v>
                </c:pt>
                <c:pt idx="25">
                  <c:v>0.7752808988764045</c:v>
                </c:pt>
                <c:pt idx="26">
                  <c:v>0.76543209876543206</c:v>
                </c:pt>
                <c:pt idx="27">
                  <c:v>0.77108433734939763</c:v>
                </c:pt>
                <c:pt idx="28">
                  <c:v>0.7640449438202247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'Emo-Dropout_rn'!$A$11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'Emo-Dropout_rn'!$B$11:$AD$11</c:f>
              <c:numCache>
                <c:formatCode>General</c:formatCode>
                <c:ptCount val="29"/>
                <c:pt idx="0">
                  <c:v>0.78612716763005797</c:v>
                </c:pt>
                <c:pt idx="1">
                  <c:v>0.78160919540229867</c:v>
                </c:pt>
                <c:pt idx="2">
                  <c:v>0.79069767441860472</c:v>
                </c:pt>
                <c:pt idx="3">
                  <c:v>0.72727272727272718</c:v>
                </c:pt>
                <c:pt idx="4">
                  <c:v>0.78205128205128205</c:v>
                </c:pt>
                <c:pt idx="5">
                  <c:v>0.78205128205128205</c:v>
                </c:pt>
                <c:pt idx="6">
                  <c:v>0.76433121019108274</c:v>
                </c:pt>
                <c:pt idx="7">
                  <c:v>0.78750000000000009</c:v>
                </c:pt>
                <c:pt idx="8">
                  <c:v>0.79738562091503273</c:v>
                </c:pt>
                <c:pt idx="9">
                  <c:v>0.79220779220779236</c:v>
                </c:pt>
                <c:pt idx="10">
                  <c:v>0.78205128205128205</c:v>
                </c:pt>
                <c:pt idx="11">
                  <c:v>0.79487179487179493</c:v>
                </c:pt>
                <c:pt idx="12">
                  <c:v>0.78980891719745216</c:v>
                </c:pt>
                <c:pt idx="13">
                  <c:v>0.78980891719745216</c:v>
                </c:pt>
                <c:pt idx="14">
                  <c:v>0.84472049689440998</c:v>
                </c:pt>
                <c:pt idx="15">
                  <c:v>0.82119205298013243</c:v>
                </c:pt>
                <c:pt idx="16">
                  <c:v>0.83750000000000002</c:v>
                </c:pt>
                <c:pt idx="17">
                  <c:v>0.83750000000000002</c:v>
                </c:pt>
                <c:pt idx="18">
                  <c:v>0.81818181818181812</c:v>
                </c:pt>
                <c:pt idx="19">
                  <c:v>0.82580645161290323</c:v>
                </c:pt>
                <c:pt idx="20">
                  <c:v>0.84662576687116553</c:v>
                </c:pt>
                <c:pt idx="21">
                  <c:v>0.82580645161290323</c:v>
                </c:pt>
                <c:pt idx="22">
                  <c:v>0.84810126582278478</c:v>
                </c:pt>
                <c:pt idx="23">
                  <c:v>0.85</c:v>
                </c:pt>
                <c:pt idx="24">
                  <c:v>0.81818181818181812</c:v>
                </c:pt>
                <c:pt idx="25">
                  <c:v>0.85714285714285721</c:v>
                </c:pt>
                <c:pt idx="26">
                  <c:v>0.81045751633986929</c:v>
                </c:pt>
                <c:pt idx="27">
                  <c:v>0.82580645161290323</c:v>
                </c:pt>
                <c:pt idx="28">
                  <c:v>0.84472049689440998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'Emo-Dropout_rn'!$A$1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'Emo-Dropout_rn'!$B$1:$AD$1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68</c:v>
                      </c:pt>
                      <c:pt idx="3">
                        <c:v>60</c:v>
                      </c:pt>
                      <c:pt idx="4">
                        <c:v>61</c:v>
                      </c:pt>
                      <c:pt idx="5">
                        <c:v>61</c:v>
                      </c:pt>
                      <c:pt idx="6">
                        <c:v>60</c:v>
                      </c:pt>
                      <c:pt idx="7">
                        <c:v>63</c:v>
                      </c:pt>
                      <c:pt idx="8">
                        <c:v>61</c:v>
                      </c:pt>
                      <c:pt idx="9">
                        <c:v>61</c:v>
                      </c:pt>
                      <c:pt idx="10">
                        <c:v>61</c:v>
                      </c:pt>
                      <c:pt idx="11">
                        <c:v>62</c:v>
                      </c:pt>
                      <c:pt idx="12">
                        <c:v>62</c:v>
                      </c:pt>
                      <c:pt idx="13">
                        <c:v>62</c:v>
                      </c:pt>
                      <c:pt idx="14">
                        <c:v>68</c:v>
                      </c:pt>
                      <c:pt idx="15">
                        <c:v>62</c:v>
                      </c:pt>
                      <c:pt idx="16">
                        <c:v>67</c:v>
                      </c:pt>
                      <c:pt idx="17">
                        <c:v>67</c:v>
                      </c:pt>
                      <c:pt idx="18">
                        <c:v>63</c:v>
                      </c:pt>
                      <c:pt idx="19">
                        <c:v>64</c:v>
                      </c:pt>
                      <c:pt idx="20">
                        <c:v>69</c:v>
                      </c:pt>
                      <c:pt idx="21">
                        <c:v>64</c:v>
                      </c:pt>
                      <c:pt idx="22">
                        <c:v>67</c:v>
                      </c:pt>
                      <c:pt idx="23">
                        <c:v>68</c:v>
                      </c:pt>
                      <c:pt idx="24">
                        <c:v>63</c:v>
                      </c:pt>
                      <c:pt idx="25">
                        <c:v>69</c:v>
                      </c:pt>
                      <c:pt idx="26">
                        <c:v>62</c:v>
                      </c:pt>
                      <c:pt idx="27">
                        <c:v>64</c:v>
                      </c:pt>
                      <c:pt idx="28">
                        <c:v>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12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10</c:v>
                      </c:pt>
                      <c:pt idx="13">
                        <c:v>10</c:v>
                      </c:pt>
                      <c:pt idx="14">
                        <c:v>4</c:v>
                      </c:pt>
                      <c:pt idx="15">
                        <c:v>10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9</c:v>
                      </c:pt>
                      <c:pt idx="19">
                        <c:v>8</c:v>
                      </c:pt>
                      <c:pt idx="20">
                        <c:v>3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4</c:v>
                      </c:pt>
                      <c:pt idx="24">
                        <c:v>9</c:v>
                      </c:pt>
                      <c:pt idx="25">
                        <c:v>3</c:v>
                      </c:pt>
                      <c:pt idx="26">
                        <c:v>10</c:v>
                      </c:pt>
                      <c:pt idx="27">
                        <c:v>8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33</c:v>
                      </c:pt>
                      <c:pt idx="1">
                        <c:v>34</c:v>
                      </c:pt>
                      <c:pt idx="2">
                        <c:v>32</c:v>
                      </c:pt>
                      <c:pt idx="3">
                        <c:v>33</c:v>
                      </c:pt>
                      <c:pt idx="4">
                        <c:v>23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20</c:v>
                      </c:pt>
                      <c:pt idx="9">
                        <c:v>21</c:v>
                      </c:pt>
                      <c:pt idx="10">
                        <c:v>23</c:v>
                      </c:pt>
                      <c:pt idx="11">
                        <c:v>21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21</c:v>
                      </c:pt>
                      <c:pt idx="15">
                        <c:v>17</c:v>
                      </c:pt>
                      <c:pt idx="16">
                        <c:v>21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22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20</c:v>
                      </c:pt>
                      <c:pt idx="24">
                        <c:v>19</c:v>
                      </c:pt>
                      <c:pt idx="25">
                        <c:v>20</c:v>
                      </c:pt>
                      <c:pt idx="26">
                        <c:v>19</c:v>
                      </c:pt>
                      <c:pt idx="27">
                        <c:v>19</c:v>
                      </c:pt>
                      <c:pt idx="28">
                        <c:v>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95</c:v>
                      </c:pt>
                      <c:pt idx="1">
                        <c:v>94</c:v>
                      </c:pt>
                      <c:pt idx="2">
                        <c:v>96</c:v>
                      </c:pt>
                      <c:pt idx="3">
                        <c:v>95</c:v>
                      </c:pt>
                      <c:pt idx="4">
                        <c:v>105</c:v>
                      </c:pt>
                      <c:pt idx="5">
                        <c:v>105</c:v>
                      </c:pt>
                      <c:pt idx="6">
                        <c:v>103</c:v>
                      </c:pt>
                      <c:pt idx="7">
                        <c:v>103</c:v>
                      </c:pt>
                      <c:pt idx="8">
                        <c:v>108</c:v>
                      </c:pt>
                      <c:pt idx="9">
                        <c:v>107</c:v>
                      </c:pt>
                      <c:pt idx="10">
                        <c:v>105</c:v>
                      </c:pt>
                      <c:pt idx="11">
                        <c:v>106</c:v>
                      </c:pt>
                      <c:pt idx="12">
                        <c:v>105</c:v>
                      </c:pt>
                      <c:pt idx="13">
                        <c:v>105</c:v>
                      </c:pt>
                      <c:pt idx="14">
                        <c:v>107</c:v>
                      </c:pt>
                      <c:pt idx="15">
                        <c:v>111</c:v>
                      </c:pt>
                      <c:pt idx="16">
                        <c:v>107</c:v>
                      </c:pt>
                      <c:pt idx="17">
                        <c:v>107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106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108</c:v>
                      </c:pt>
                      <c:pt idx="24">
                        <c:v>109</c:v>
                      </c:pt>
                      <c:pt idx="25">
                        <c:v>108</c:v>
                      </c:pt>
                      <c:pt idx="26">
                        <c:v>109</c:v>
                      </c:pt>
                      <c:pt idx="27">
                        <c:v>109</c:v>
                      </c:pt>
                      <c:pt idx="28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0.18500000000000005</c:v>
                      </c:pt>
                      <c:pt idx="1">
                        <c:v>0.18999999999999995</c:v>
                      </c:pt>
                      <c:pt idx="2">
                        <c:v>0.18000000000000005</c:v>
                      </c:pt>
                      <c:pt idx="3">
                        <c:v>0.22499999999999998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0.18500000000000005</c:v>
                      </c:pt>
                      <c:pt idx="7">
                        <c:v>0.17000000000000004</c:v>
                      </c:pt>
                      <c:pt idx="8">
                        <c:v>0.15500000000000003</c:v>
                      </c:pt>
                      <c:pt idx="9">
                        <c:v>0.16000000000000003</c:v>
                      </c:pt>
                      <c:pt idx="10">
                        <c:v>0.17000000000000004</c:v>
                      </c:pt>
                      <c:pt idx="11">
                        <c:v>0.16000000000000003</c:v>
                      </c:pt>
                      <c:pt idx="12">
                        <c:v>0.16500000000000004</c:v>
                      </c:pt>
                      <c:pt idx="13">
                        <c:v>0.16500000000000004</c:v>
                      </c:pt>
                      <c:pt idx="14">
                        <c:v>0.125</c:v>
                      </c:pt>
                      <c:pt idx="15">
                        <c:v>0.13500000000000001</c:v>
                      </c:pt>
                      <c:pt idx="16">
                        <c:v>0.13</c:v>
                      </c:pt>
                      <c:pt idx="17">
                        <c:v>0.13</c:v>
                      </c:pt>
                      <c:pt idx="18">
                        <c:v>0.14000000000000001</c:v>
                      </c:pt>
                      <c:pt idx="19">
                        <c:v>0.13500000000000001</c:v>
                      </c:pt>
                      <c:pt idx="20">
                        <c:v>0.125</c:v>
                      </c:pt>
                      <c:pt idx="21">
                        <c:v>0.13500000000000001</c:v>
                      </c:pt>
                      <c:pt idx="22">
                        <c:v>0.12</c:v>
                      </c:pt>
                      <c:pt idx="23">
                        <c:v>0.12</c:v>
                      </c:pt>
                      <c:pt idx="24">
                        <c:v>0.14000000000000001</c:v>
                      </c:pt>
                      <c:pt idx="25">
                        <c:v>0.11499999999999999</c:v>
                      </c:pt>
                      <c:pt idx="26">
                        <c:v>0.14500000000000002</c:v>
                      </c:pt>
                      <c:pt idx="27">
                        <c:v>0.13500000000000001</c:v>
                      </c:pt>
                      <c:pt idx="28">
                        <c:v>0.125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'Emo-Dropout_rn'!$B$12:$AD$12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0.7421875</c:v>
                      </c:pt>
                      <c:pt idx="1">
                        <c:v>0.734375</c:v>
                      </c:pt>
                      <c:pt idx="2">
                        <c:v>0.75</c:v>
                      </c:pt>
                      <c:pt idx="3">
                        <c:v>0.7421875</c:v>
                      </c:pt>
                      <c:pt idx="4">
                        <c:v>0.8203125</c:v>
                      </c:pt>
                      <c:pt idx="5">
                        <c:v>0.8203125</c:v>
                      </c:pt>
                      <c:pt idx="6">
                        <c:v>0.8046875</c:v>
                      </c:pt>
                      <c:pt idx="7">
                        <c:v>0.8046875</c:v>
                      </c:pt>
                      <c:pt idx="8">
                        <c:v>0.84375</c:v>
                      </c:pt>
                      <c:pt idx="9">
                        <c:v>0.8359375</c:v>
                      </c:pt>
                      <c:pt idx="10">
                        <c:v>0.8203125</c:v>
                      </c:pt>
                      <c:pt idx="11">
                        <c:v>0.83464566929133854</c:v>
                      </c:pt>
                      <c:pt idx="12">
                        <c:v>0.8203125</c:v>
                      </c:pt>
                      <c:pt idx="13">
                        <c:v>0.8203125</c:v>
                      </c:pt>
                      <c:pt idx="14">
                        <c:v>0.8359375</c:v>
                      </c:pt>
                      <c:pt idx="15">
                        <c:v>0.8671875</c:v>
                      </c:pt>
                      <c:pt idx="16">
                        <c:v>0.8359375</c:v>
                      </c:pt>
                      <c:pt idx="17">
                        <c:v>0.8359375</c:v>
                      </c:pt>
                      <c:pt idx="18">
                        <c:v>0.8515625</c:v>
                      </c:pt>
                      <c:pt idx="19">
                        <c:v>0.8515625</c:v>
                      </c:pt>
                      <c:pt idx="20">
                        <c:v>0.828125</c:v>
                      </c:pt>
                      <c:pt idx="21">
                        <c:v>0.8515625</c:v>
                      </c:pt>
                      <c:pt idx="22">
                        <c:v>0.8515625</c:v>
                      </c:pt>
                      <c:pt idx="23">
                        <c:v>0.84375</c:v>
                      </c:pt>
                      <c:pt idx="24">
                        <c:v>0.8515625</c:v>
                      </c:pt>
                      <c:pt idx="25">
                        <c:v>0.84375</c:v>
                      </c:pt>
                      <c:pt idx="26">
                        <c:v>0.8515625</c:v>
                      </c:pt>
                      <c:pt idx="27">
                        <c:v>0.8515625</c:v>
                      </c:pt>
                      <c:pt idx="28">
                        <c:v>0.8359375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84</v>
      </c>
      <c r="C2" s="1">
        <v>84</v>
      </c>
      <c r="D2" s="1">
        <v>84</v>
      </c>
      <c r="E2" s="1">
        <v>85</v>
      </c>
      <c r="F2" s="1">
        <v>86</v>
      </c>
      <c r="G2" s="1">
        <v>87</v>
      </c>
      <c r="H2" s="1">
        <v>87</v>
      </c>
      <c r="I2" s="1">
        <v>86</v>
      </c>
      <c r="J2" s="1">
        <v>89</v>
      </c>
      <c r="K2" s="1">
        <v>89</v>
      </c>
      <c r="L2" s="1">
        <v>88</v>
      </c>
      <c r="M2" s="1">
        <v>89</v>
      </c>
      <c r="N2" s="1">
        <v>90</v>
      </c>
      <c r="O2" s="1">
        <v>90</v>
      </c>
      <c r="P2" s="1">
        <v>93</v>
      </c>
      <c r="Q2" s="1">
        <v>94</v>
      </c>
      <c r="R2" s="1">
        <v>92</v>
      </c>
      <c r="S2" s="1">
        <v>93</v>
      </c>
      <c r="T2" s="1">
        <v>92</v>
      </c>
      <c r="U2" s="1">
        <v>91</v>
      </c>
      <c r="V2" s="1">
        <v>94</v>
      </c>
      <c r="W2" s="1">
        <v>94</v>
      </c>
      <c r="X2" s="1">
        <v>94</v>
      </c>
      <c r="Y2" s="1">
        <v>94</v>
      </c>
      <c r="Z2" s="1">
        <v>94</v>
      </c>
      <c r="AA2" s="1">
        <v>94</v>
      </c>
      <c r="AB2" s="1">
        <v>93</v>
      </c>
      <c r="AC2" s="1">
        <v>94</v>
      </c>
      <c r="AD2" s="1">
        <v>93</v>
      </c>
    </row>
    <row r="3" spans="1:30" x14ac:dyDescent="0.25">
      <c r="A3" t="s">
        <v>10</v>
      </c>
      <c r="B3" s="1">
        <v>10</v>
      </c>
      <c r="C3" s="1">
        <v>10</v>
      </c>
      <c r="D3" s="1">
        <v>10</v>
      </c>
      <c r="E3" s="1">
        <v>9</v>
      </c>
      <c r="F3" s="1">
        <v>8</v>
      </c>
      <c r="G3" s="1">
        <v>7</v>
      </c>
      <c r="H3" s="1">
        <v>7</v>
      </c>
      <c r="I3" s="1">
        <v>8</v>
      </c>
      <c r="J3" s="1">
        <v>5</v>
      </c>
      <c r="K3" s="1">
        <v>5</v>
      </c>
      <c r="L3" s="1">
        <v>6</v>
      </c>
      <c r="M3" s="1">
        <v>5</v>
      </c>
      <c r="N3" s="1">
        <v>4</v>
      </c>
      <c r="O3" s="1">
        <v>4</v>
      </c>
      <c r="P3" s="1">
        <v>1</v>
      </c>
      <c r="Q3" s="1">
        <v>0</v>
      </c>
      <c r="R3" s="1">
        <v>2</v>
      </c>
      <c r="S3" s="1">
        <v>1</v>
      </c>
      <c r="T3" s="1">
        <v>2</v>
      </c>
      <c r="U3" s="1">
        <v>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1</v>
      </c>
    </row>
    <row r="4" spans="1:30" x14ac:dyDescent="0.25">
      <c r="A4" t="s">
        <v>11</v>
      </c>
      <c r="B4" s="1">
        <v>15</v>
      </c>
      <c r="C4" s="1">
        <v>15</v>
      </c>
      <c r="D4" s="1">
        <v>15</v>
      </c>
      <c r="E4" s="1">
        <v>16</v>
      </c>
      <c r="F4" s="1">
        <v>20</v>
      </c>
      <c r="G4" s="1">
        <v>21</v>
      </c>
      <c r="H4" s="1">
        <v>20</v>
      </c>
      <c r="I4" s="1">
        <v>19</v>
      </c>
      <c r="J4" s="1">
        <v>31</v>
      </c>
      <c r="K4" s="1">
        <v>20</v>
      </c>
      <c r="L4" s="1">
        <v>20</v>
      </c>
      <c r="M4" s="1">
        <v>20</v>
      </c>
      <c r="N4" s="1">
        <v>18</v>
      </c>
      <c r="O4" s="1">
        <v>18</v>
      </c>
      <c r="P4" s="1">
        <v>18</v>
      </c>
      <c r="Q4" s="1">
        <v>17</v>
      </c>
      <c r="R4" s="1">
        <v>17</v>
      </c>
      <c r="S4" s="1">
        <v>17</v>
      </c>
      <c r="T4" s="1">
        <v>16</v>
      </c>
      <c r="U4" s="1">
        <v>16</v>
      </c>
      <c r="V4" s="1">
        <v>11</v>
      </c>
      <c r="W4" s="1">
        <v>11</v>
      </c>
      <c r="X4" s="1">
        <v>11</v>
      </c>
      <c r="Y4" s="1">
        <v>11</v>
      </c>
      <c r="Z4" s="1">
        <v>11</v>
      </c>
      <c r="AA4" s="1">
        <v>11</v>
      </c>
      <c r="AB4" s="1">
        <v>10</v>
      </c>
      <c r="AC4" s="1">
        <v>10</v>
      </c>
      <c r="AD4" s="1">
        <v>9</v>
      </c>
    </row>
    <row r="5" spans="1:30" x14ac:dyDescent="0.25">
      <c r="A5" t="s">
        <v>12</v>
      </c>
      <c r="B5" s="1">
        <f t="shared" ref="B5:G5" si="0">200-B2-B3-B4</f>
        <v>91</v>
      </c>
      <c r="C5" s="1">
        <f t="shared" si="0"/>
        <v>91</v>
      </c>
      <c r="D5" s="1">
        <f t="shared" si="0"/>
        <v>91</v>
      </c>
      <c r="E5" s="1">
        <f t="shared" si="0"/>
        <v>90</v>
      </c>
      <c r="F5" s="1">
        <f t="shared" si="0"/>
        <v>86</v>
      </c>
      <c r="G5" s="1">
        <f t="shared" si="0"/>
        <v>85</v>
      </c>
      <c r="H5" s="1">
        <f>200-H2-H3-H4</f>
        <v>86</v>
      </c>
      <c r="I5" s="1">
        <f t="shared" ref="I5:AD5" si="1">200-I2-I3-I4</f>
        <v>87</v>
      </c>
      <c r="J5" s="1">
        <f t="shared" si="1"/>
        <v>75</v>
      </c>
      <c r="K5" s="1">
        <f t="shared" si="1"/>
        <v>86</v>
      </c>
      <c r="L5" s="1">
        <f t="shared" si="1"/>
        <v>86</v>
      </c>
      <c r="M5" s="1">
        <f t="shared" si="1"/>
        <v>86</v>
      </c>
      <c r="N5" s="1">
        <f t="shared" si="1"/>
        <v>88</v>
      </c>
      <c r="O5" s="1">
        <f t="shared" si="1"/>
        <v>88</v>
      </c>
      <c r="P5" s="1">
        <f t="shared" si="1"/>
        <v>88</v>
      </c>
      <c r="Q5" s="1">
        <f t="shared" si="1"/>
        <v>89</v>
      </c>
      <c r="R5" s="1">
        <f t="shared" si="1"/>
        <v>89</v>
      </c>
      <c r="S5" s="1">
        <f t="shared" si="1"/>
        <v>89</v>
      </c>
      <c r="T5" s="1">
        <f>200-T2-T3-T4</f>
        <v>90</v>
      </c>
      <c r="U5" s="1">
        <f t="shared" si="1"/>
        <v>90</v>
      </c>
      <c r="V5" s="1">
        <f t="shared" si="1"/>
        <v>95</v>
      </c>
      <c r="W5" s="1">
        <f t="shared" si="1"/>
        <v>95</v>
      </c>
      <c r="X5" s="1">
        <f t="shared" si="1"/>
        <v>95</v>
      </c>
      <c r="Y5" s="1">
        <f t="shared" si="1"/>
        <v>95</v>
      </c>
      <c r="Z5" s="1">
        <f>200-Z2-Z3-Z4</f>
        <v>95</v>
      </c>
      <c r="AA5" s="1">
        <f>200-AA2-AA3-AA4</f>
        <v>95</v>
      </c>
      <c r="AB5" s="1">
        <f t="shared" si="1"/>
        <v>96</v>
      </c>
      <c r="AC5" s="1">
        <f t="shared" si="1"/>
        <v>96</v>
      </c>
      <c r="AD5" s="1">
        <f t="shared" si="1"/>
        <v>97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3">(C5+C2)/C6</f>
        <v>0.875</v>
      </c>
      <c r="D7" s="1">
        <f t="shared" si="3"/>
        <v>0.875</v>
      </c>
      <c r="E7" s="1">
        <f t="shared" si="3"/>
        <v>0.875</v>
      </c>
      <c r="F7" s="1">
        <f t="shared" si="3"/>
        <v>0.86</v>
      </c>
      <c r="G7" s="1">
        <f t="shared" si="3"/>
        <v>0.86</v>
      </c>
      <c r="H7" s="3">
        <f t="shared" si="3"/>
        <v>0.86499999999999999</v>
      </c>
      <c r="I7" s="1">
        <f t="shared" si="3"/>
        <v>0.86499999999999999</v>
      </c>
      <c r="J7" s="1">
        <f t="shared" si="3"/>
        <v>0.82</v>
      </c>
      <c r="K7" s="5">
        <f t="shared" si="3"/>
        <v>0.875</v>
      </c>
      <c r="L7" s="1">
        <f t="shared" si="3"/>
        <v>0.87</v>
      </c>
      <c r="M7" s="5">
        <f t="shared" si="3"/>
        <v>0.875</v>
      </c>
      <c r="N7" s="1">
        <f t="shared" si="3"/>
        <v>0.89</v>
      </c>
      <c r="O7" s="1">
        <f t="shared" si="3"/>
        <v>0.89</v>
      </c>
      <c r="P7" s="1">
        <f t="shared" si="3"/>
        <v>0.90500000000000003</v>
      </c>
      <c r="Q7" s="1">
        <f t="shared" si="3"/>
        <v>0.91500000000000004</v>
      </c>
      <c r="R7" s="1">
        <f t="shared" si="3"/>
        <v>0.90500000000000003</v>
      </c>
      <c r="S7" s="1">
        <f t="shared" si="3"/>
        <v>0.91</v>
      </c>
      <c r="T7" s="1">
        <f t="shared" si="3"/>
        <v>0.91</v>
      </c>
      <c r="U7" s="1">
        <f t="shared" si="3"/>
        <v>0.90500000000000003</v>
      </c>
      <c r="V7" s="1">
        <f t="shared" si="3"/>
        <v>0.94499999999999995</v>
      </c>
      <c r="W7" s="1">
        <f t="shared" si="3"/>
        <v>0.94499999999999995</v>
      </c>
      <c r="X7" s="1">
        <f t="shared" si="3"/>
        <v>0.94499999999999995</v>
      </c>
      <c r="Y7" s="1">
        <f t="shared" si="3"/>
        <v>0.94499999999999995</v>
      </c>
      <c r="Z7" s="1">
        <f t="shared" si="3"/>
        <v>0.94499999999999995</v>
      </c>
      <c r="AA7" s="1">
        <f t="shared" si="3"/>
        <v>0.94499999999999995</v>
      </c>
      <c r="AB7" s="1">
        <f t="shared" si="3"/>
        <v>0.94499999999999995</v>
      </c>
      <c r="AC7" s="1">
        <f t="shared" si="3"/>
        <v>0.95</v>
      </c>
      <c r="AD7" s="3">
        <f t="shared" si="3"/>
        <v>0.95</v>
      </c>
    </row>
    <row r="8" spans="1:30" x14ac:dyDescent="0.25">
      <c r="A8" t="s">
        <v>1</v>
      </c>
      <c r="B8" s="1">
        <f>1-B7</f>
        <v>0.125</v>
      </c>
      <c r="C8" s="1">
        <f t="shared" ref="C8:AD8" si="4">1-C7</f>
        <v>0.125</v>
      </c>
      <c r="D8" s="1">
        <f t="shared" si="4"/>
        <v>0.125</v>
      </c>
      <c r="E8" s="1">
        <f t="shared" si="4"/>
        <v>0.125</v>
      </c>
      <c r="F8" s="1">
        <f t="shared" si="4"/>
        <v>0.14000000000000001</v>
      </c>
      <c r="G8" s="1">
        <f t="shared" si="4"/>
        <v>0.14000000000000001</v>
      </c>
      <c r="H8" s="3">
        <f t="shared" si="4"/>
        <v>0.13500000000000001</v>
      </c>
      <c r="I8" s="1">
        <f t="shared" si="4"/>
        <v>0.13500000000000001</v>
      </c>
      <c r="J8" s="1">
        <f t="shared" si="4"/>
        <v>0.18000000000000005</v>
      </c>
      <c r="K8" s="5">
        <f t="shared" si="4"/>
        <v>0.125</v>
      </c>
      <c r="L8" s="1">
        <f t="shared" si="4"/>
        <v>0.13</v>
      </c>
      <c r="M8" s="5">
        <f t="shared" si="4"/>
        <v>0.125</v>
      </c>
      <c r="N8" s="1">
        <f t="shared" si="4"/>
        <v>0.10999999999999999</v>
      </c>
      <c r="O8" s="1">
        <f t="shared" si="4"/>
        <v>0.10999999999999999</v>
      </c>
      <c r="P8" s="1">
        <f t="shared" si="4"/>
        <v>9.4999999999999973E-2</v>
      </c>
      <c r="Q8" s="1">
        <f t="shared" si="4"/>
        <v>8.4999999999999964E-2</v>
      </c>
      <c r="R8" s="1">
        <f t="shared" si="4"/>
        <v>9.4999999999999973E-2</v>
      </c>
      <c r="S8" s="1">
        <f t="shared" si="4"/>
        <v>8.9999999999999969E-2</v>
      </c>
      <c r="T8" s="1">
        <f t="shared" si="4"/>
        <v>8.9999999999999969E-2</v>
      </c>
      <c r="U8" s="1">
        <f t="shared" si="4"/>
        <v>9.4999999999999973E-2</v>
      </c>
      <c r="V8" s="1">
        <f t="shared" si="4"/>
        <v>5.5000000000000049E-2</v>
      </c>
      <c r="W8" s="1">
        <f t="shared" si="4"/>
        <v>5.5000000000000049E-2</v>
      </c>
      <c r="X8" s="1">
        <f t="shared" si="4"/>
        <v>5.5000000000000049E-2</v>
      </c>
      <c r="Y8" s="1">
        <f t="shared" si="4"/>
        <v>5.5000000000000049E-2</v>
      </c>
      <c r="Z8" s="1">
        <f t="shared" si="4"/>
        <v>5.5000000000000049E-2</v>
      </c>
      <c r="AA8" s="1">
        <f t="shared" si="4"/>
        <v>5.5000000000000049E-2</v>
      </c>
      <c r="AB8" s="1">
        <f t="shared" si="4"/>
        <v>5.5000000000000049E-2</v>
      </c>
      <c r="AC8" s="1">
        <f t="shared" si="4"/>
        <v>5.0000000000000044E-2</v>
      </c>
      <c r="AD8" s="3">
        <f t="shared" si="4"/>
        <v>5.0000000000000044E-2</v>
      </c>
    </row>
    <row r="9" spans="1:30" x14ac:dyDescent="0.25">
      <c r="A9" t="s">
        <v>24</v>
      </c>
      <c r="B9" s="1">
        <f>B2/(B2+B3)</f>
        <v>0.8936170212765957</v>
      </c>
      <c r="C9" s="1">
        <f t="shared" ref="C9:AD9" si="5">C2/(C2+C3)</f>
        <v>0.8936170212765957</v>
      </c>
      <c r="D9" s="1">
        <f t="shared" si="5"/>
        <v>0.8936170212765957</v>
      </c>
      <c r="E9" s="1">
        <f t="shared" si="5"/>
        <v>0.9042553191489362</v>
      </c>
      <c r="F9" s="1">
        <f t="shared" si="5"/>
        <v>0.91489361702127658</v>
      </c>
      <c r="G9" s="1">
        <f t="shared" si="5"/>
        <v>0.92553191489361697</v>
      </c>
      <c r="H9" s="3">
        <f t="shared" si="5"/>
        <v>0.92553191489361697</v>
      </c>
      <c r="I9" s="1">
        <f t="shared" si="5"/>
        <v>0.91489361702127658</v>
      </c>
      <c r="J9" s="1">
        <f t="shared" si="5"/>
        <v>0.94680851063829785</v>
      </c>
      <c r="K9" s="5">
        <f t="shared" si="5"/>
        <v>0.94680851063829785</v>
      </c>
      <c r="L9" s="1">
        <f t="shared" si="5"/>
        <v>0.93617021276595747</v>
      </c>
      <c r="M9" s="5">
        <f t="shared" si="5"/>
        <v>0.94680851063829785</v>
      </c>
      <c r="N9" s="1">
        <f t="shared" si="5"/>
        <v>0.95744680851063835</v>
      </c>
      <c r="O9" s="1">
        <f t="shared" si="5"/>
        <v>0.95744680851063835</v>
      </c>
      <c r="P9" s="1">
        <f t="shared" si="5"/>
        <v>0.98936170212765961</v>
      </c>
      <c r="Q9" s="1">
        <f t="shared" si="5"/>
        <v>1</v>
      </c>
      <c r="R9" s="1">
        <f t="shared" si="5"/>
        <v>0.97872340425531912</v>
      </c>
      <c r="S9" s="1">
        <f t="shared" si="5"/>
        <v>0.98936170212765961</v>
      </c>
      <c r="T9" s="1">
        <f t="shared" si="5"/>
        <v>0.97872340425531912</v>
      </c>
      <c r="U9" s="1">
        <f t="shared" si="5"/>
        <v>0.96808510638297873</v>
      </c>
      <c r="V9" s="1">
        <f t="shared" si="5"/>
        <v>1</v>
      </c>
      <c r="W9" s="1">
        <f t="shared" si="5"/>
        <v>1</v>
      </c>
      <c r="X9" s="1">
        <f t="shared" si="5"/>
        <v>1</v>
      </c>
      <c r="Y9" s="1">
        <f t="shared" si="5"/>
        <v>1</v>
      </c>
      <c r="Z9" s="1">
        <f t="shared" si="5"/>
        <v>1</v>
      </c>
      <c r="AA9" s="1">
        <f t="shared" si="5"/>
        <v>1</v>
      </c>
      <c r="AB9" s="1">
        <f t="shared" si="5"/>
        <v>0.98936170212765961</v>
      </c>
      <c r="AC9" s="1">
        <f t="shared" si="5"/>
        <v>1</v>
      </c>
      <c r="AD9" s="3">
        <f t="shared" si="5"/>
        <v>0.98936170212765961</v>
      </c>
    </row>
    <row r="10" spans="1:30" x14ac:dyDescent="0.25">
      <c r="A10" t="s">
        <v>23</v>
      </c>
      <c r="B10" s="1">
        <f>B2/(B2+B4)</f>
        <v>0.84848484848484851</v>
      </c>
      <c r="C10" s="1">
        <f t="shared" ref="C10:AD10" si="6">C2/(C2+C4)</f>
        <v>0.84848484848484851</v>
      </c>
      <c r="D10" s="1">
        <f t="shared" si="6"/>
        <v>0.84848484848484851</v>
      </c>
      <c r="E10" s="1">
        <f t="shared" si="6"/>
        <v>0.84158415841584155</v>
      </c>
      <c r="F10" s="1">
        <f t="shared" si="6"/>
        <v>0.81132075471698117</v>
      </c>
      <c r="G10" s="1">
        <f t="shared" si="6"/>
        <v>0.80555555555555558</v>
      </c>
      <c r="H10" s="3">
        <f t="shared" si="6"/>
        <v>0.81308411214953269</v>
      </c>
      <c r="I10" s="1">
        <f t="shared" si="6"/>
        <v>0.81904761904761902</v>
      </c>
      <c r="J10" s="1">
        <f t="shared" si="6"/>
        <v>0.7416666666666667</v>
      </c>
      <c r="K10" s="5">
        <f t="shared" si="6"/>
        <v>0.8165137614678899</v>
      </c>
      <c r="L10" s="1">
        <f t="shared" si="6"/>
        <v>0.81481481481481477</v>
      </c>
      <c r="M10" s="5">
        <f t="shared" si="6"/>
        <v>0.8165137614678899</v>
      </c>
      <c r="N10" s="1">
        <f t="shared" si="6"/>
        <v>0.83333333333333337</v>
      </c>
      <c r="O10" s="1">
        <f t="shared" si="6"/>
        <v>0.83333333333333337</v>
      </c>
      <c r="P10" s="1">
        <f t="shared" si="6"/>
        <v>0.83783783783783783</v>
      </c>
      <c r="Q10" s="1">
        <f t="shared" si="6"/>
        <v>0.84684684684684686</v>
      </c>
      <c r="R10" s="1">
        <f t="shared" si="6"/>
        <v>0.84403669724770647</v>
      </c>
      <c r="S10" s="1">
        <f t="shared" si="6"/>
        <v>0.84545454545454546</v>
      </c>
      <c r="T10" s="1">
        <f t="shared" si="6"/>
        <v>0.85185185185185186</v>
      </c>
      <c r="U10" s="1">
        <f t="shared" si="6"/>
        <v>0.85046728971962615</v>
      </c>
      <c r="V10" s="1">
        <f t="shared" si="6"/>
        <v>0.89523809523809528</v>
      </c>
      <c r="W10" s="1">
        <f t="shared" si="6"/>
        <v>0.89523809523809528</v>
      </c>
      <c r="X10" s="1">
        <f t="shared" si="6"/>
        <v>0.89523809523809528</v>
      </c>
      <c r="Y10" s="1">
        <f t="shared" si="6"/>
        <v>0.89523809523809528</v>
      </c>
      <c r="Z10" s="1">
        <f t="shared" si="6"/>
        <v>0.89523809523809528</v>
      </c>
      <c r="AA10" s="1">
        <f t="shared" si="6"/>
        <v>0.89523809523809528</v>
      </c>
      <c r="AB10" s="1">
        <f t="shared" si="6"/>
        <v>0.90291262135922334</v>
      </c>
      <c r="AC10" s="1">
        <f t="shared" si="6"/>
        <v>0.90384615384615385</v>
      </c>
      <c r="AD10" s="3">
        <f t="shared" si="6"/>
        <v>0.91176470588235292</v>
      </c>
    </row>
    <row r="11" spans="1:30" x14ac:dyDescent="0.25">
      <c r="A11" t="s">
        <v>13</v>
      </c>
      <c r="B11" s="1">
        <f>2*B9*B10/(B9+B10)</f>
        <v>0.8704663212435233</v>
      </c>
      <c r="C11" s="1">
        <f t="shared" ref="C11:AD11" si="7">2*C9*C10/(C9+C10)</f>
        <v>0.8704663212435233</v>
      </c>
      <c r="D11" s="1">
        <f t="shared" si="7"/>
        <v>0.8704663212435233</v>
      </c>
      <c r="E11" s="1">
        <f t="shared" si="7"/>
        <v>0.87179487179487181</v>
      </c>
      <c r="F11" s="1">
        <f t="shared" si="7"/>
        <v>0.8600000000000001</v>
      </c>
      <c r="G11" s="1">
        <f t="shared" si="7"/>
        <v>0.86138613861386137</v>
      </c>
      <c r="H11" s="3">
        <f t="shared" si="7"/>
        <v>0.86567164179104472</v>
      </c>
      <c r="I11" s="1">
        <f t="shared" si="7"/>
        <v>0.86432160804020097</v>
      </c>
      <c r="J11" s="1">
        <f t="shared" si="7"/>
        <v>0.83177570093457953</v>
      </c>
      <c r="K11" s="5">
        <f t="shared" si="7"/>
        <v>0.87684729064039391</v>
      </c>
      <c r="L11" s="1">
        <f t="shared" si="7"/>
        <v>0.87128712871287128</v>
      </c>
      <c r="M11" s="5">
        <f t="shared" si="7"/>
        <v>0.87684729064039391</v>
      </c>
      <c r="N11" s="1">
        <f t="shared" si="7"/>
        <v>0.8910891089108911</v>
      </c>
      <c r="O11" s="1">
        <f t="shared" si="7"/>
        <v>0.8910891089108911</v>
      </c>
      <c r="P11" s="1">
        <f t="shared" si="7"/>
        <v>0.90731707317073174</v>
      </c>
      <c r="Q11" s="1">
        <f t="shared" si="7"/>
        <v>0.91707317073170735</v>
      </c>
      <c r="R11" s="1">
        <f t="shared" si="7"/>
        <v>0.90640394088669951</v>
      </c>
      <c r="S11" s="1">
        <f t="shared" si="7"/>
        <v>0.91176470588235303</v>
      </c>
      <c r="T11" s="1">
        <f t="shared" si="7"/>
        <v>0.91089108910891081</v>
      </c>
      <c r="U11" s="1">
        <f t="shared" si="7"/>
        <v>0.90547263681592038</v>
      </c>
      <c r="V11" s="1">
        <f t="shared" si="7"/>
        <v>0.94472361809045236</v>
      </c>
      <c r="W11" s="1">
        <f t="shared" si="7"/>
        <v>0.94472361809045236</v>
      </c>
      <c r="X11" s="1">
        <f t="shared" si="7"/>
        <v>0.94472361809045236</v>
      </c>
      <c r="Y11" s="1">
        <f t="shared" si="7"/>
        <v>0.94472361809045236</v>
      </c>
      <c r="Z11" s="1">
        <f t="shared" si="7"/>
        <v>0.94472361809045236</v>
      </c>
      <c r="AA11" s="1">
        <f t="shared" si="7"/>
        <v>0.94472361809045236</v>
      </c>
      <c r="AB11" s="1">
        <f t="shared" si="7"/>
        <v>0.94416243654822329</v>
      </c>
      <c r="AC11" s="1">
        <f t="shared" si="7"/>
        <v>0.9494949494949495</v>
      </c>
      <c r="AD11" s="3">
        <f t="shared" si="7"/>
        <v>0.94897959183673464</v>
      </c>
    </row>
    <row r="12" spans="1:30" x14ac:dyDescent="0.25">
      <c r="A12" t="s">
        <v>14</v>
      </c>
      <c r="B12" s="1">
        <f>B5/(B4+B5)</f>
        <v>0.85849056603773588</v>
      </c>
      <c r="C12" s="1">
        <f t="shared" ref="C12:AD12" si="8">C5/(C4+C5)</f>
        <v>0.85849056603773588</v>
      </c>
      <c r="D12" s="1">
        <f t="shared" si="8"/>
        <v>0.85849056603773588</v>
      </c>
      <c r="E12" s="1">
        <f t="shared" si="8"/>
        <v>0.84905660377358494</v>
      </c>
      <c r="F12" s="1">
        <f t="shared" si="8"/>
        <v>0.81132075471698117</v>
      </c>
      <c r="G12" s="1">
        <f t="shared" si="8"/>
        <v>0.80188679245283023</v>
      </c>
      <c r="H12" s="3">
        <f t="shared" si="8"/>
        <v>0.81132075471698117</v>
      </c>
      <c r="I12" s="1">
        <f t="shared" si="8"/>
        <v>0.82075471698113212</v>
      </c>
      <c r="J12" s="1">
        <f t="shared" si="8"/>
        <v>0.70754716981132071</v>
      </c>
      <c r="K12" s="5">
        <f t="shared" si="8"/>
        <v>0.81132075471698117</v>
      </c>
      <c r="L12" s="1">
        <f t="shared" si="8"/>
        <v>0.81132075471698117</v>
      </c>
      <c r="M12" s="5">
        <f t="shared" si="8"/>
        <v>0.81132075471698117</v>
      </c>
      <c r="N12" s="1">
        <f t="shared" si="8"/>
        <v>0.83018867924528306</v>
      </c>
      <c r="O12" s="1">
        <f t="shared" si="8"/>
        <v>0.83018867924528306</v>
      </c>
      <c r="P12" s="1">
        <f t="shared" si="8"/>
        <v>0.83018867924528306</v>
      </c>
      <c r="Q12" s="1">
        <f t="shared" si="8"/>
        <v>0.839622641509434</v>
      </c>
      <c r="R12" s="1">
        <f t="shared" si="8"/>
        <v>0.839622641509434</v>
      </c>
      <c r="S12" s="1">
        <f t="shared" si="8"/>
        <v>0.839622641509434</v>
      </c>
      <c r="T12" s="1">
        <f t="shared" si="8"/>
        <v>0.84905660377358494</v>
      </c>
      <c r="U12" s="1">
        <f t="shared" si="8"/>
        <v>0.84905660377358494</v>
      </c>
      <c r="V12" s="1">
        <f t="shared" si="8"/>
        <v>0.89622641509433965</v>
      </c>
      <c r="W12" s="1">
        <f t="shared" si="8"/>
        <v>0.89622641509433965</v>
      </c>
      <c r="X12" s="1">
        <f t="shared" si="8"/>
        <v>0.89622641509433965</v>
      </c>
      <c r="Y12" s="1">
        <f t="shared" si="8"/>
        <v>0.89622641509433965</v>
      </c>
      <c r="Z12" s="1">
        <f t="shared" si="8"/>
        <v>0.89622641509433965</v>
      </c>
      <c r="AA12" s="1">
        <f t="shared" si="8"/>
        <v>0.89622641509433965</v>
      </c>
      <c r="AB12" s="1">
        <f t="shared" si="8"/>
        <v>0.90566037735849059</v>
      </c>
      <c r="AC12" s="1">
        <f t="shared" si="8"/>
        <v>0.90566037735849059</v>
      </c>
      <c r="AD12" s="3">
        <f t="shared" si="8"/>
        <v>0.91509433962264153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5">
        <v>0.9</v>
      </c>
      <c r="L13" s="1">
        <v>0.9</v>
      </c>
      <c r="M13" s="5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3</v>
      </c>
      <c r="G2" s="1">
        <v>3</v>
      </c>
      <c r="H2" s="1">
        <v>2</v>
      </c>
      <c r="I2" s="1">
        <v>2</v>
      </c>
      <c r="J2" s="1">
        <v>3</v>
      </c>
      <c r="K2" s="1">
        <v>3</v>
      </c>
      <c r="L2" s="1">
        <v>2</v>
      </c>
      <c r="M2" s="1">
        <v>3</v>
      </c>
      <c r="N2" s="1">
        <v>2</v>
      </c>
      <c r="O2" s="1">
        <v>2</v>
      </c>
      <c r="P2" s="1">
        <v>0</v>
      </c>
      <c r="Q2" s="1">
        <v>3</v>
      </c>
      <c r="R2" s="1">
        <v>0</v>
      </c>
      <c r="S2" s="1">
        <v>0</v>
      </c>
      <c r="T2" s="1">
        <v>3</v>
      </c>
      <c r="U2" s="1">
        <v>3</v>
      </c>
      <c r="V2" s="1">
        <v>3</v>
      </c>
      <c r="W2" s="1">
        <v>6</v>
      </c>
      <c r="X2" s="1">
        <v>6</v>
      </c>
      <c r="Y2" s="1">
        <v>5</v>
      </c>
      <c r="Z2" s="1">
        <v>6</v>
      </c>
      <c r="AA2" s="1">
        <v>5</v>
      </c>
      <c r="AB2" s="1">
        <v>6</v>
      </c>
      <c r="AC2" s="1">
        <v>6</v>
      </c>
      <c r="AD2" s="1">
        <v>5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31</v>
      </c>
      <c r="G3" s="1">
        <v>31</v>
      </c>
      <c r="H3" s="1">
        <v>32</v>
      </c>
      <c r="I3" s="1">
        <v>32</v>
      </c>
      <c r="J3" s="1">
        <v>31</v>
      </c>
      <c r="K3" s="1">
        <v>31</v>
      </c>
      <c r="L3" s="1">
        <v>32</v>
      </c>
      <c r="M3" s="1">
        <v>31</v>
      </c>
      <c r="N3" s="1">
        <v>32</v>
      </c>
      <c r="O3" s="1">
        <v>32</v>
      </c>
      <c r="P3" s="1">
        <v>34</v>
      </c>
      <c r="Q3" s="1">
        <v>31</v>
      </c>
      <c r="R3" s="1">
        <v>34</v>
      </c>
      <c r="S3" s="1">
        <v>34</v>
      </c>
      <c r="T3" s="1">
        <v>31</v>
      </c>
      <c r="U3" s="1">
        <v>21</v>
      </c>
      <c r="V3" s="1">
        <v>31</v>
      </c>
      <c r="W3" s="1">
        <v>28</v>
      </c>
      <c r="X3" s="1">
        <v>28</v>
      </c>
      <c r="Y3" s="1">
        <v>29</v>
      </c>
      <c r="Z3" s="1">
        <v>28</v>
      </c>
      <c r="AA3" s="1">
        <v>29</v>
      </c>
      <c r="AB3" s="1">
        <v>28</v>
      </c>
      <c r="AC3" s="1">
        <v>28</v>
      </c>
      <c r="AD3" s="1">
        <v>29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8</v>
      </c>
      <c r="G4" s="1">
        <v>5</v>
      </c>
      <c r="H4" s="1">
        <v>6</v>
      </c>
      <c r="I4" s="1">
        <v>5</v>
      </c>
      <c r="J4" s="1">
        <v>4</v>
      </c>
      <c r="K4" s="1">
        <v>6</v>
      </c>
      <c r="L4" s="1">
        <v>6</v>
      </c>
      <c r="M4" s="1">
        <v>5</v>
      </c>
      <c r="N4" s="1">
        <v>5</v>
      </c>
      <c r="O4" s="1">
        <v>5</v>
      </c>
      <c r="P4" s="1">
        <v>0</v>
      </c>
      <c r="Q4" s="1">
        <v>7</v>
      </c>
      <c r="R4" s="1">
        <v>3</v>
      </c>
      <c r="S4" s="1">
        <v>2</v>
      </c>
      <c r="T4" s="1">
        <v>7</v>
      </c>
      <c r="U4" s="1">
        <v>7</v>
      </c>
      <c r="V4" s="1">
        <v>1</v>
      </c>
      <c r="W4" s="1">
        <v>6</v>
      </c>
      <c r="X4" s="1">
        <v>3</v>
      </c>
      <c r="Y4" s="1">
        <v>3</v>
      </c>
      <c r="Z4" s="1">
        <v>7</v>
      </c>
      <c r="AA4" s="1">
        <v>2</v>
      </c>
      <c r="AB4" s="1">
        <v>10</v>
      </c>
      <c r="AC4" s="1">
        <v>7</v>
      </c>
      <c r="AD4" s="1">
        <v>4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158</v>
      </c>
      <c r="G5" s="1">
        <f t="shared" si="0"/>
        <v>161</v>
      </c>
      <c r="H5" s="1">
        <f>200-H2-H3-H4</f>
        <v>160</v>
      </c>
      <c r="I5" s="1">
        <f t="shared" ref="I5:AD5" si="1">200-I2-I3-I4</f>
        <v>161</v>
      </c>
      <c r="J5" s="1">
        <f t="shared" si="1"/>
        <v>162</v>
      </c>
      <c r="K5" s="1">
        <f t="shared" si="1"/>
        <v>160</v>
      </c>
      <c r="L5" s="1">
        <f t="shared" si="1"/>
        <v>160</v>
      </c>
      <c r="M5" s="1">
        <f t="shared" si="1"/>
        <v>161</v>
      </c>
      <c r="N5" s="1">
        <f t="shared" si="1"/>
        <v>161</v>
      </c>
      <c r="O5" s="1">
        <f t="shared" si="1"/>
        <v>161</v>
      </c>
      <c r="P5" s="1">
        <f t="shared" si="1"/>
        <v>166</v>
      </c>
      <c r="Q5" s="1">
        <f t="shared" si="1"/>
        <v>159</v>
      </c>
      <c r="R5" s="1">
        <f t="shared" si="1"/>
        <v>163</v>
      </c>
      <c r="S5" s="1">
        <f t="shared" si="1"/>
        <v>164</v>
      </c>
      <c r="T5" s="1">
        <f>200-T2-T3-T4</f>
        <v>159</v>
      </c>
      <c r="U5" s="1">
        <f t="shared" si="1"/>
        <v>169</v>
      </c>
      <c r="V5" s="1">
        <f>200-V2-V3-V4</f>
        <v>165</v>
      </c>
      <c r="W5" s="1">
        <f>200-W2-W3-W4</f>
        <v>160</v>
      </c>
      <c r="X5" s="1">
        <f t="shared" si="1"/>
        <v>163</v>
      </c>
      <c r="Y5" s="1">
        <f t="shared" si="1"/>
        <v>163</v>
      </c>
      <c r="Z5" s="1">
        <f t="shared" si="1"/>
        <v>159</v>
      </c>
      <c r="AA5" s="1">
        <f>200-AA2-AA3-AA4</f>
        <v>164</v>
      </c>
      <c r="AB5" s="1">
        <f t="shared" si="1"/>
        <v>156</v>
      </c>
      <c r="AC5" s="1">
        <f>200-AC2-AC3-AC4</f>
        <v>159</v>
      </c>
      <c r="AD5" s="1">
        <f t="shared" si="1"/>
        <v>162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0.80500000000000005</v>
      </c>
      <c r="G7" s="1">
        <f t="shared" si="3"/>
        <v>0.82</v>
      </c>
      <c r="H7" s="1">
        <f t="shared" si="3"/>
        <v>0.81</v>
      </c>
      <c r="I7" s="1">
        <f t="shared" si="3"/>
        <v>0.81499999999999995</v>
      </c>
      <c r="J7" s="1">
        <f t="shared" si="3"/>
        <v>0.82499999999999996</v>
      </c>
      <c r="K7" s="1">
        <f t="shared" si="3"/>
        <v>0.81499999999999995</v>
      </c>
      <c r="L7" s="1">
        <f t="shared" si="3"/>
        <v>0.81</v>
      </c>
      <c r="M7" s="1">
        <f t="shared" si="3"/>
        <v>0.82</v>
      </c>
      <c r="N7" s="1">
        <f t="shared" si="3"/>
        <v>0.81499999999999995</v>
      </c>
      <c r="O7" s="1">
        <f t="shared" si="3"/>
        <v>0.81499999999999995</v>
      </c>
      <c r="P7" s="1">
        <f t="shared" si="3"/>
        <v>0.83</v>
      </c>
      <c r="Q7" s="1">
        <f t="shared" si="3"/>
        <v>0.81</v>
      </c>
      <c r="R7" s="1">
        <f t="shared" si="3"/>
        <v>0.81499999999999995</v>
      </c>
      <c r="S7" s="1">
        <f t="shared" si="3"/>
        <v>0.82</v>
      </c>
      <c r="T7" s="4">
        <f t="shared" si="3"/>
        <v>0.81</v>
      </c>
      <c r="U7" s="1">
        <f t="shared" si="3"/>
        <v>0.86</v>
      </c>
      <c r="V7" s="1">
        <f t="shared" si="3"/>
        <v>0.84</v>
      </c>
      <c r="W7" s="1">
        <f t="shared" si="3"/>
        <v>0.83</v>
      </c>
      <c r="X7" s="3">
        <f t="shared" si="3"/>
        <v>0.84499999999999997</v>
      </c>
      <c r="Y7" s="1">
        <f t="shared" si="3"/>
        <v>0.84</v>
      </c>
      <c r="Z7" s="1">
        <f t="shared" si="3"/>
        <v>0.82499999999999996</v>
      </c>
      <c r="AA7" s="1">
        <f t="shared" si="3"/>
        <v>0.84499999999999997</v>
      </c>
      <c r="AB7" s="1">
        <f t="shared" si="3"/>
        <v>0.81</v>
      </c>
      <c r="AC7" s="1">
        <f t="shared" si="3"/>
        <v>0.82499999999999996</v>
      </c>
      <c r="AD7" s="6">
        <f t="shared" si="3"/>
        <v>0.83499999999999996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0.19499999999999995</v>
      </c>
      <c r="G8" s="1">
        <f t="shared" si="4"/>
        <v>0.18000000000000005</v>
      </c>
      <c r="H8" s="1">
        <f t="shared" si="4"/>
        <v>0.18999999999999995</v>
      </c>
      <c r="I8" s="1">
        <f t="shared" si="4"/>
        <v>0.18500000000000005</v>
      </c>
      <c r="J8" s="1">
        <f t="shared" si="4"/>
        <v>0.17500000000000004</v>
      </c>
      <c r="K8" s="1">
        <f t="shared" si="4"/>
        <v>0.18500000000000005</v>
      </c>
      <c r="L8" s="1">
        <f t="shared" si="4"/>
        <v>0.18999999999999995</v>
      </c>
      <c r="M8" s="1">
        <f t="shared" si="4"/>
        <v>0.18000000000000005</v>
      </c>
      <c r="N8" s="1">
        <f t="shared" si="4"/>
        <v>0.18500000000000005</v>
      </c>
      <c r="O8" s="1">
        <f t="shared" si="4"/>
        <v>0.18500000000000005</v>
      </c>
      <c r="P8" s="1">
        <f t="shared" si="4"/>
        <v>0.17000000000000004</v>
      </c>
      <c r="Q8" s="1">
        <f t="shared" si="4"/>
        <v>0.18999999999999995</v>
      </c>
      <c r="R8" s="1">
        <f t="shared" si="4"/>
        <v>0.18500000000000005</v>
      </c>
      <c r="S8" s="1">
        <f t="shared" si="4"/>
        <v>0.18000000000000005</v>
      </c>
      <c r="T8" s="4">
        <f t="shared" si="4"/>
        <v>0.18999999999999995</v>
      </c>
      <c r="U8" s="1">
        <f t="shared" si="4"/>
        <v>0.14000000000000001</v>
      </c>
      <c r="V8" s="1">
        <f t="shared" si="4"/>
        <v>0.16000000000000003</v>
      </c>
      <c r="W8" s="1">
        <f t="shared" si="4"/>
        <v>0.17000000000000004</v>
      </c>
      <c r="X8" s="3">
        <f t="shared" si="4"/>
        <v>0.15500000000000003</v>
      </c>
      <c r="Y8" s="1">
        <f t="shared" si="4"/>
        <v>0.16000000000000003</v>
      </c>
      <c r="Z8" s="1">
        <f t="shared" si="4"/>
        <v>0.17500000000000004</v>
      </c>
      <c r="AA8" s="1">
        <f t="shared" si="4"/>
        <v>0.15500000000000003</v>
      </c>
      <c r="AB8" s="1">
        <f t="shared" si="4"/>
        <v>0.18999999999999995</v>
      </c>
      <c r="AC8" s="1">
        <f t="shared" si="4"/>
        <v>0.17500000000000004</v>
      </c>
      <c r="AD8" s="6">
        <f t="shared" si="4"/>
        <v>0.16500000000000004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8.8235294117647065E-2</v>
      </c>
      <c r="G9" s="1">
        <f t="shared" si="5"/>
        <v>8.8235294117647065E-2</v>
      </c>
      <c r="H9" s="1">
        <f t="shared" si="5"/>
        <v>5.8823529411764705E-2</v>
      </c>
      <c r="I9" s="1">
        <f t="shared" si="5"/>
        <v>5.8823529411764705E-2</v>
      </c>
      <c r="J9" s="1">
        <f t="shared" si="5"/>
        <v>8.8235294117647065E-2</v>
      </c>
      <c r="K9" s="1">
        <f t="shared" si="5"/>
        <v>8.8235294117647065E-2</v>
      </c>
      <c r="L9" s="1">
        <f t="shared" si="5"/>
        <v>5.8823529411764705E-2</v>
      </c>
      <c r="M9" s="1">
        <f t="shared" si="5"/>
        <v>8.8235294117647065E-2</v>
      </c>
      <c r="N9" s="1">
        <f t="shared" si="5"/>
        <v>5.8823529411764705E-2</v>
      </c>
      <c r="O9" s="1">
        <f t="shared" si="5"/>
        <v>5.8823529411764705E-2</v>
      </c>
      <c r="P9" s="1">
        <f t="shared" si="5"/>
        <v>0</v>
      </c>
      <c r="Q9" s="1">
        <f t="shared" si="5"/>
        <v>8.8235294117647065E-2</v>
      </c>
      <c r="R9" s="1">
        <f t="shared" si="5"/>
        <v>0</v>
      </c>
      <c r="S9" s="1">
        <f t="shared" si="5"/>
        <v>0</v>
      </c>
      <c r="T9" s="4">
        <f t="shared" si="5"/>
        <v>8.8235294117647065E-2</v>
      </c>
      <c r="U9" s="1">
        <f t="shared" si="5"/>
        <v>0.125</v>
      </c>
      <c r="V9" s="1">
        <f t="shared" si="5"/>
        <v>8.8235294117647065E-2</v>
      </c>
      <c r="W9" s="1">
        <f t="shared" si="5"/>
        <v>0.17647058823529413</v>
      </c>
      <c r="X9" s="3">
        <f t="shared" si="5"/>
        <v>0.17647058823529413</v>
      </c>
      <c r="Y9" s="1">
        <f t="shared" si="5"/>
        <v>0.14705882352941177</v>
      </c>
      <c r="Z9" s="1">
        <f t="shared" si="5"/>
        <v>0.17647058823529413</v>
      </c>
      <c r="AA9" s="1">
        <f t="shared" si="5"/>
        <v>0.14705882352941177</v>
      </c>
      <c r="AB9" s="1">
        <f t="shared" si="5"/>
        <v>0.17647058823529413</v>
      </c>
      <c r="AC9" s="1">
        <f t="shared" si="5"/>
        <v>0.17647058823529413</v>
      </c>
      <c r="AD9" s="6">
        <f t="shared" si="5"/>
        <v>0.14705882352941177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>
        <f t="shared" si="6"/>
        <v>0.27272727272727271</v>
      </c>
      <c r="G10" s="1">
        <f t="shared" si="6"/>
        <v>0.375</v>
      </c>
      <c r="H10" s="1">
        <f t="shared" si="6"/>
        <v>0.25</v>
      </c>
      <c r="I10" s="1">
        <f t="shared" si="6"/>
        <v>0.2857142857142857</v>
      </c>
      <c r="J10" s="1">
        <f t="shared" si="6"/>
        <v>0.42857142857142855</v>
      </c>
      <c r="K10" s="1">
        <f t="shared" si="6"/>
        <v>0.33333333333333331</v>
      </c>
      <c r="L10" s="1">
        <f t="shared" si="6"/>
        <v>0.25</v>
      </c>
      <c r="M10" s="1">
        <f t="shared" si="6"/>
        <v>0.375</v>
      </c>
      <c r="N10" s="1">
        <f t="shared" si="6"/>
        <v>0.2857142857142857</v>
      </c>
      <c r="O10" s="1">
        <f t="shared" si="6"/>
        <v>0.2857142857142857</v>
      </c>
      <c r="P10" s="1" t="e">
        <f t="shared" si="6"/>
        <v>#DIV/0!</v>
      </c>
      <c r="Q10" s="1">
        <f t="shared" si="6"/>
        <v>0.3</v>
      </c>
      <c r="R10" s="1">
        <f t="shared" si="6"/>
        <v>0</v>
      </c>
      <c r="S10" s="1">
        <f t="shared" si="6"/>
        <v>0</v>
      </c>
      <c r="T10" s="4">
        <f t="shared" si="6"/>
        <v>0.3</v>
      </c>
      <c r="U10" s="1">
        <f t="shared" si="6"/>
        <v>0.3</v>
      </c>
      <c r="V10" s="1">
        <f t="shared" si="6"/>
        <v>0.75</v>
      </c>
      <c r="W10" s="1">
        <f t="shared" si="6"/>
        <v>0.5</v>
      </c>
      <c r="X10" s="3">
        <f t="shared" si="6"/>
        <v>0.66666666666666663</v>
      </c>
      <c r="Y10" s="1">
        <f t="shared" si="6"/>
        <v>0.625</v>
      </c>
      <c r="Z10" s="1">
        <f t="shared" si="6"/>
        <v>0.46153846153846156</v>
      </c>
      <c r="AA10" s="1">
        <f t="shared" si="6"/>
        <v>0.7142857142857143</v>
      </c>
      <c r="AB10" s="1">
        <f t="shared" si="6"/>
        <v>0.375</v>
      </c>
      <c r="AC10" s="1">
        <f t="shared" si="6"/>
        <v>0.46153846153846156</v>
      </c>
      <c r="AD10" s="6">
        <f t="shared" si="6"/>
        <v>0.55555555555555558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>
        <f t="shared" si="7"/>
        <v>0.13333333333333333</v>
      </c>
      <c r="G11" s="1">
        <f t="shared" si="7"/>
        <v>0.14285714285714285</v>
      </c>
      <c r="H11" s="1">
        <f t="shared" si="7"/>
        <v>9.5238095238095233E-2</v>
      </c>
      <c r="I11" s="1">
        <f t="shared" si="7"/>
        <v>9.7560975609756101E-2</v>
      </c>
      <c r="J11" s="1">
        <f t="shared" si="7"/>
        <v>0.14634146341463417</v>
      </c>
      <c r="K11" s="1">
        <f t="shared" si="7"/>
        <v>0.13953488372093023</v>
      </c>
      <c r="L11" s="1">
        <f t="shared" si="7"/>
        <v>9.5238095238095233E-2</v>
      </c>
      <c r="M11" s="1">
        <f t="shared" si="7"/>
        <v>0.14285714285714285</v>
      </c>
      <c r="N11" s="1">
        <f t="shared" si="7"/>
        <v>9.7560975609756101E-2</v>
      </c>
      <c r="O11" s="1">
        <f t="shared" si="7"/>
        <v>9.7560975609756101E-2</v>
      </c>
      <c r="P11" s="1" t="e">
        <f t="shared" si="7"/>
        <v>#DIV/0!</v>
      </c>
      <c r="Q11" s="1">
        <f t="shared" si="7"/>
        <v>0.13636363636363635</v>
      </c>
      <c r="R11" s="1" t="e">
        <f t="shared" si="7"/>
        <v>#DIV/0!</v>
      </c>
      <c r="S11" s="1" t="e">
        <f t="shared" si="7"/>
        <v>#DIV/0!</v>
      </c>
      <c r="T11" s="4">
        <f t="shared" si="7"/>
        <v>0.13636363636363635</v>
      </c>
      <c r="U11" s="1">
        <f t="shared" si="7"/>
        <v>0.17647058823529413</v>
      </c>
      <c r="V11" s="1">
        <f t="shared" si="7"/>
        <v>0.15789473684210525</v>
      </c>
      <c r="W11" s="1">
        <f t="shared" si="7"/>
        <v>0.2608695652173913</v>
      </c>
      <c r="X11" s="3">
        <f t="shared" si="7"/>
        <v>0.27906976744186046</v>
      </c>
      <c r="Y11" s="1">
        <f t="shared" si="7"/>
        <v>0.23809523809523811</v>
      </c>
      <c r="Z11" s="1">
        <f t="shared" si="7"/>
        <v>0.25531914893617025</v>
      </c>
      <c r="AA11" s="1">
        <f t="shared" si="7"/>
        <v>0.24390243902439024</v>
      </c>
      <c r="AB11" s="1">
        <f t="shared" si="7"/>
        <v>0.24</v>
      </c>
      <c r="AC11" s="1">
        <f t="shared" si="7"/>
        <v>0.25531914893617025</v>
      </c>
      <c r="AD11" s="6">
        <f t="shared" si="7"/>
        <v>0.23255813953488372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0.95180722891566261</v>
      </c>
      <c r="G12" s="1">
        <f t="shared" si="8"/>
        <v>0.96987951807228912</v>
      </c>
      <c r="H12" s="1">
        <f t="shared" si="8"/>
        <v>0.96385542168674698</v>
      </c>
      <c r="I12" s="1">
        <f t="shared" si="8"/>
        <v>0.96987951807228912</v>
      </c>
      <c r="J12" s="1">
        <f t="shared" si="8"/>
        <v>0.97590361445783136</v>
      </c>
      <c r="K12" s="1">
        <f t="shared" si="8"/>
        <v>0.96385542168674698</v>
      </c>
      <c r="L12" s="1">
        <f t="shared" si="8"/>
        <v>0.96385542168674698</v>
      </c>
      <c r="M12" s="1">
        <f t="shared" si="8"/>
        <v>0.96987951807228912</v>
      </c>
      <c r="N12" s="1">
        <f t="shared" si="8"/>
        <v>0.96987951807228912</v>
      </c>
      <c r="O12" s="1">
        <f t="shared" si="8"/>
        <v>0.96987951807228912</v>
      </c>
      <c r="P12" s="1">
        <f t="shared" si="8"/>
        <v>1</v>
      </c>
      <c r="Q12" s="1">
        <f t="shared" si="8"/>
        <v>0.95783132530120485</v>
      </c>
      <c r="R12" s="1">
        <f t="shared" si="8"/>
        <v>0.98192771084337349</v>
      </c>
      <c r="S12" s="1">
        <f t="shared" si="8"/>
        <v>0.98795180722891562</v>
      </c>
      <c r="T12" s="4">
        <f t="shared" si="8"/>
        <v>0.95783132530120485</v>
      </c>
      <c r="U12" s="1">
        <f t="shared" si="8"/>
        <v>0.96022727272727271</v>
      </c>
      <c r="V12" s="1">
        <f t="shared" si="8"/>
        <v>0.99397590361445787</v>
      </c>
      <c r="W12" s="1">
        <f t="shared" si="8"/>
        <v>0.96385542168674698</v>
      </c>
      <c r="X12" s="3">
        <f t="shared" si="8"/>
        <v>0.98192771084337349</v>
      </c>
      <c r="Y12" s="1">
        <f t="shared" si="8"/>
        <v>0.98192771084337349</v>
      </c>
      <c r="Z12" s="1">
        <f t="shared" si="8"/>
        <v>0.95783132530120485</v>
      </c>
      <c r="AA12" s="1">
        <f t="shared" si="8"/>
        <v>0.98795180722891562</v>
      </c>
      <c r="AB12" s="1">
        <f t="shared" si="8"/>
        <v>0.93975903614457834</v>
      </c>
      <c r="AC12" s="1">
        <f t="shared" si="8"/>
        <v>0.95783132530120485</v>
      </c>
      <c r="AD12" s="6">
        <f t="shared" si="8"/>
        <v>0.97590361445783136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4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="115" zoomScaleNormal="115" workbookViewId="0">
      <selection activeCell="AD5" sqref="AD5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68</v>
      </c>
      <c r="C2" s="1">
        <v>68</v>
      </c>
      <c r="D2" s="1">
        <v>68</v>
      </c>
      <c r="E2" s="1">
        <v>60</v>
      </c>
      <c r="F2" s="1">
        <v>61</v>
      </c>
      <c r="G2" s="1">
        <v>61</v>
      </c>
      <c r="H2" s="1">
        <v>60</v>
      </c>
      <c r="I2" s="1">
        <v>63</v>
      </c>
      <c r="J2" s="1">
        <v>61</v>
      </c>
      <c r="K2" s="1">
        <v>61</v>
      </c>
      <c r="L2" s="1">
        <v>61</v>
      </c>
      <c r="M2" s="1">
        <v>62</v>
      </c>
      <c r="N2" s="1">
        <v>62</v>
      </c>
      <c r="O2" s="1">
        <v>62</v>
      </c>
      <c r="P2" s="1">
        <v>68</v>
      </c>
      <c r="Q2" s="4">
        <v>62</v>
      </c>
      <c r="R2" s="1">
        <v>67</v>
      </c>
      <c r="S2" s="1">
        <v>67</v>
      </c>
      <c r="T2" s="1">
        <v>63</v>
      </c>
      <c r="U2" s="1">
        <v>64</v>
      </c>
      <c r="V2" s="1">
        <v>69</v>
      </c>
      <c r="W2" s="1">
        <v>64</v>
      </c>
      <c r="X2" s="1">
        <v>67</v>
      </c>
      <c r="Y2" s="1">
        <v>68</v>
      </c>
      <c r="Z2" s="1">
        <v>63</v>
      </c>
      <c r="AA2" s="1">
        <v>69</v>
      </c>
      <c r="AB2" s="1">
        <v>62</v>
      </c>
      <c r="AC2" s="1">
        <v>64</v>
      </c>
      <c r="AD2" s="1">
        <v>68</v>
      </c>
    </row>
    <row r="3" spans="1:30" x14ac:dyDescent="0.25">
      <c r="A3" t="s">
        <v>18</v>
      </c>
      <c r="B3" s="1">
        <v>4</v>
      </c>
      <c r="C3" s="1">
        <v>4</v>
      </c>
      <c r="D3" s="1">
        <v>4</v>
      </c>
      <c r="E3" s="1">
        <v>12</v>
      </c>
      <c r="F3" s="1">
        <v>11</v>
      </c>
      <c r="G3" s="1">
        <v>11</v>
      </c>
      <c r="H3" s="1">
        <v>12</v>
      </c>
      <c r="I3" s="1">
        <v>9</v>
      </c>
      <c r="J3" s="1">
        <v>11</v>
      </c>
      <c r="K3" s="1">
        <v>11</v>
      </c>
      <c r="L3" s="1">
        <v>11</v>
      </c>
      <c r="M3" s="1">
        <v>11</v>
      </c>
      <c r="N3" s="1">
        <v>10</v>
      </c>
      <c r="O3" s="1">
        <v>10</v>
      </c>
      <c r="P3" s="1">
        <v>4</v>
      </c>
      <c r="Q3" s="4">
        <v>10</v>
      </c>
      <c r="R3" s="1">
        <v>5</v>
      </c>
      <c r="S3" s="1">
        <v>5</v>
      </c>
      <c r="T3" s="1">
        <v>9</v>
      </c>
      <c r="U3" s="1">
        <v>8</v>
      </c>
      <c r="V3" s="1">
        <v>3</v>
      </c>
      <c r="W3" s="1">
        <v>8</v>
      </c>
      <c r="X3" s="1">
        <v>5</v>
      </c>
      <c r="Y3" s="1">
        <v>4</v>
      </c>
      <c r="Z3" s="1">
        <v>9</v>
      </c>
      <c r="AA3" s="1">
        <v>3</v>
      </c>
      <c r="AB3" s="1">
        <v>10</v>
      </c>
      <c r="AC3" s="1">
        <v>8</v>
      </c>
      <c r="AD3" s="1">
        <v>4</v>
      </c>
    </row>
    <row r="4" spans="1:30" x14ac:dyDescent="0.25">
      <c r="A4" t="s">
        <v>19</v>
      </c>
      <c r="B4" s="1">
        <v>33</v>
      </c>
      <c r="C4" s="1">
        <v>34</v>
      </c>
      <c r="D4" s="1">
        <v>32</v>
      </c>
      <c r="E4" s="1">
        <v>33</v>
      </c>
      <c r="F4" s="1">
        <v>23</v>
      </c>
      <c r="G4" s="1">
        <v>23</v>
      </c>
      <c r="H4" s="1">
        <v>25</v>
      </c>
      <c r="I4" s="1">
        <v>25</v>
      </c>
      <c r="J4" s="1">
        <v>20</v>
      </c>
      <c r="K4" s="1">
        <v>21</v>
      </c>
      <c r="L4" s="1">
        <v>23</v>
      </c>
      <c r="M4" s="1">
        <v>21</v>
      </c>
      <c r="N4" s="1">
        <v>23</v>
      </c>
      <c r="O4" s="1">
        <v>23</v>
      </c>
      <c r="P4" s="1">
        <v>21</v>
      </c>
      <c r="Q4" s="4">
        <v>17</v>
      </c>
      <c r="R4" s="1">
        <v>21</v>
      </c>
      <c r="S4" s="1">
        <v>21</v>
      </c>
      <c r="T4" s="1">
        <v>19</v>
      </c>
      <c r="U4" s="1">
        <v>19</v>
      </c>
      <c r="V4" s="1">
        <v>22</v>
      </c>
      <c r="W4" s="1">
        <v>19</v>
      </c>
      <c r="X4" s="1">
        <v>19</v>
      </c>
      <c r="Y4" s="1">
        <v>20</v>
      </c>
      <c r="Z4" s="1">
        <v>19</v>
      </c>
      <c r="AA4" s="1">
        <v>20</v>
      </c>
      <c r="AB4" s="1">
        <v>19</v>
      </c>
      <c r="AC4" s="1">
        <v>19</v>
      </c>
      <c r="AD4" s="1">
        <v>21</v>
      </c>
    </row>
    <row r="5" spans="1:30" x14ac:dyDescent="0.25">
      <c r="A5" t="s">
        <v>12</v>
      </c>
      <c r="B5" s="1">
        <f t="shared" ref="B5:H5" si="0">200-B2-B3-B4</f>
        <v>95</v>
      </c>
      <c r="C5" s="1">
        <f>200-C2-C3-C4</f>
        <v>94</v>
      </c>
      <c r="D5" s="1">
        <f t="shared" si="0"/>
        <v>96</v>
      </c>
      <c r="E5" s="1">
        <f t="shared" si="0"/>
        <v>95</v>
      </c>
      <c r="F5" s="1">
        <f t="shared" si="0"/>
        <v>105</v>
      </c>
      <c r="G5" s="1">
        <f t="shared" si="0"/>
        <v>105</v>
      </c>
      <c r="H5" s="1">
        <f t="shared" si="0"/>
        <v>103</v>
      </c>
      <c r="I5" s="1">
        <f t="shared" ref="I5:AD5" si="1">200-I2-I3-I4</f>
        <v>103</v>
      </c>
      <c r="J5" s="1">
        <f t="shared" si="1"/>
        <v>108</v>
      </c>
      <c r="K5" s="1">
        <f t="shared" si="1"/>
        <v>107</v>
      </c>
      <c r="L5" s="1">
        <f t="shared" si="1"/>
        <v>105</v>
      </c>
      <c r="M5" s="1">
        <f t="shared" si="1"/>
        <v>106</v>
      </c>
      <c r="N5" s="1">
        <f t="shared" si="1"/>
        <v>105</v>
      </c>
      <c r="O5" s="1">
        <f t="shared" si="1"/>
        <v>105</v>
      </c>
      <c r="P5" s="1">
        <f t="shared" si="1"/>
        <v>107</v>
      </c>
      <c r="Q5" s="4">
        <f t="shared" si="1"/>
        <v>111</v>
      </c>
      <c r="R5" s="4">
        <f t="shared" si="1"/>
        <v>107</v>
      </c>
      <c r="S5" s="1">
        <f t="shared" si="1"/>
        <v>107</v>
      </c>
      <c r="T5" s="1">
        <f>200-T2-T3-T4</f>
        <v>109</v>
      </c>
      <c r="U5" s="1">
        <f t="shared" si="1"/>
        <v>109</v>
      </c>
      <c r="V5" s="1">
        <f t="shared" si="1"/>
        <v>106</v>
      </c>
      <c r="W5" s="1">
        <f t="shared" si="1"/>
        <v>109</v>
      </c>
      <c r="X5" s="1">
        <f t="shared" si="1"/>
        <v>109</v>
      </c>
      <c r="Y5" s="1">
        <f t="shared" si="1"/>
        <v>108</v>
      </c>
      <c r="Z5" s="1">
        <f t="shared" si="1"/>
        <v>109</v>
      </c>
      <c r="AA5" s="1">
        <f>200-AA2-AA3-AA4</f>
        <v>108</v>
      </c>
      <c r="AB5" s="1">
        <f t="shared" si="1"/>
        <v>109</v>
      </c>
      <c r="AC5" s="1">
        <f t="shared" si="1"/>
        <v>109</v>
      </c>
      <c r="AD5" s="1">
        <f t="shared" si="1"/>
        <v>107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0.81499999999999995</v>
      </c>
      <c r="C7" s="1">
        <f t="shared" ref="C7:AD7" si="3">(C5+C2)/C6</f>
        <v>0.81</v>
      </c>
      <c r="D7" s="1">
        <f t="shared" si="3"/>
        <v>0.82</v>
      </c>
      <c r="E7" s="1">
        <f t="shared" si="3"/>
        <v>0.77500000000000002</v>
      </c>
      <c r="F7" s="1">
        <f t="shared" si="3"/>
        <v>0.83</v>
      </c>
      <c r="G7" s="1">
        <f t="shared" si="3"/>
        <v>0.83</v>
      </c>
      <c r="H7" s="1">
        <f t="shared" si="3"/>
        <v>0.81499999999999995</v>
      </c>
      <c r="I7" s="1">
        <f t="shared" si="3"/>
        <v>0.83</v>
      </c>
      <c r="J7" s="1">
        <f t="shared" si="3"/>
        <v>0.84499999999999997</v>
      </c>
      <c r="K7" s="1">
        <f t="shared" si="3"/>
        <v>0.84</v>
      </c>
      <c r="L7" s="1">
        <f t="shared" si="3"/>
        <v>0.83</v>
      </c>
      <c r="M7" s="5">
        <f t="shared" si="3"/>
        <v>0.84</v>
      </c>
      <c r="N7" s="1">
        <f t="shared" si="3"/>
        <v>0.83499999999999996</v>
      </c>
      <c r="O7" s="7">
        <f t="shared" si="3"/>
        <v>0.83499999999999996</v>
      </c>
      <c r="P7" s="1">
        <f t="shared" si="3"/>
        <v>0.875</v>
      </c>
      <c r="Q7" s="4">
        <f t="shared" si="3"/>
        <v>0.86499999999999999</v>
      </c>
      <c r="R7" s="1">
        <f t="shared" si="3"/>
        <v>0.87</v>
      </c>
      <c r="S7" s="1">
        <f t="shared" si="3"/>
        <v>0.87</v>
      </c>
      <c r="T7" s="1">
        <f t="shared" si="3"/>
        <v>0.86</v>
      </c>
      <c r="U7" s="1">
        <f t="shared" si="3"/>
        <v>0.86499999999999999</v>
      </c>
      <c r="V7" s="1">
        <f t="shared" si="3"/>
        <v>0.875</v>
      </c>
      <c r="W7" s="1">
        <f t="shared" si="3"/>
        <v>0.86499999999999999</v>
      </c>
      <c r="X7" s="1">
        <f t="shared" si="3"/>
        <v>0.88</v>
      </c>
      <c r="Y7" s="1">
        <f t="shared" si="3"/>
        <v>0.88</v>
      </c>
      <c r="Z7" s="1">
        <f t="shared" si="3"/>
        <v>0.86</v>
      </c>
      <c r="AA7" s="1">
        <f t="shared" si="3"/>
        <v>0.88500000000000001</v>
      </c>
      <c r="AB7" s="1">
        <f t="shared" si="3"/>
        <v>0.85499999999999998</v>
      </c>
      <c r="AC7" s="1">
        <f t="shared" si="3"/>
        <v>0.86499999999999999</v>
      </c>
      <c r="AD7" s="6">
        <f t="shared" si="3"/>
        <v>0.875</v>
      </c>
    </row>
    <row r="8" spans="1:30" x14ac:dyDescent="0.25">
      <c r="A8" t="s">
        <v>1</v>
      </c>
      <c r="B8" s="1">
        <f>1-B7</f>
        <v>0.18500000000000005</v>
      </c>
      <c r="C8" s="1">
        <f t="shared" ref="C8:AD8" si="4">1-C7</f>
        <v>0.18999999999999995</v>
      </c>
      <c r="D8" s="1">
        <f t="shared" si="4"/>
        <v>0.18000000000000005</v>
      </c>
      <c r="E8" s="1">
        <f t="shared" si="4"/>
        <v>0.22499999999999998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0.18500000000000005</v>
      </c>
      <c r="I8" s="1">
        <f t="shared" si="4"/>
        <v>0.17000000000000004</v>
      </c>
      <c r="J8" s="1">
        <f t="shared" si="4"/>
        <v>0.15500000000000003</v>
      </c>
      <c r="K8" s="1">
        <f t="shared" si="4"/>
        <v>0.16000000000000003</v>
      </c>
      <c r="L8" s="1">
        <f t="shared" si="4"/>
        <v>0.17000000000000004</v>
      </c>
      <c r="M8" s="5">
        <f t="shared" si="4"/>
        <v>0.16000000000000003</v>
      </c>
      <c r="N8" s="1">
        <f t="shared" si="4"/>
        <v>0.16500000000000004</v>
      </c>
      <c r="O8" s="7">
        <f t="shared" si="4"/>
        <v>0.16500000000000004</v>
      </c>
      <c r="P8" s="1">
        <f t="shared" si="4"/>
        <v>0.125</v>
      </c>
      <c r="Q8" s="4">
        <f t="shared" si="4"/>
        <v>0.13500000000000001</v>
      </c>
      <c r="R8" s="1">
        <f t="shared" si="4"/>
        <v>0.13</v>
      </c>
      <c r="S8" s="1">
        <f t="shared" si="4"/>
        <v>0.13</v>
      </c>
      <c r="T8" s="1">
        <f t="shared" si="4"/>
        <v>0.14000000000000001</v>
      </c>
      <c r="U8" s="1">
        <f t="shared" si="4"/>
        <v>0.13500000000000001</v>
      </c>
      <c r="V8" s="1">
        <f t="shared" si="4"/>
        <v>0.125</v>
      </c>
      <c r="W8" s="1">
        <f t="shared" si="4"/>
        <v>0.13500000000000001</v>
      </c>
      <c r="X8" s="1">
        <f t="shared" si="4"/>
        <v>0.12</v>
      </c>
      <c r="Y8" s="1">
        <f t="shared" si="4"/>
        <v>0.12</v>
      </c>
      <c r="Z8" s="1">
        <f t="shared" si="4"/>
        <v>0.14000000000000001</v>
      </c>
      <c r="AA8" s="1">
        <f t="shared" si="4"/>
        <v>0.11499999999999999</v>
      </c>
      <c r="AB8" s="1">
        <f t="shared" si="4"/>
        <v>0.14500000000000002</v>
      </c>
      <c r="AC8" s="1">
        <f t="shared" si="4"/>
        <v>0.13500000000000001</v>
      </c>
      <c r="AD8" s="6">
        <f t="shared" si="4"/>
        <v>0.125</v>
      </c>
    </row>
    <row r="9" spans="1:30" x14ac:dyDescent="0.25">
      <c r="A9" t="s">
        <v>24</v>
      </c>
      <c r="B9" s="1">
        <f>B2/(B2+B3)</f>
        <v>0.94444444444444442</v>
      </c>
      <c r="C9" s="1">
        <f t="shared" ref="C9:AD9" si="5">C2/(C2+C3)</f>
        <v>0.94444444444444442</v>
      </c>
      <c r="D9" s="1">
        <f t="shared" si="5"/>
        <v>0.94444444444444442</v>
      </c>
      <c r="E9" s="1">
        <f t="shared" si="5"/>
        <v>0.83333333333333337</v>
      </c>
      <c r="F9" s="1">
        <f t="shared" si="5"/>
        <v>0.84722222222222221</v>
      </c>
      <c r="G9" s="1">
        <f t="shared" si="5"/>
        <v>0.84722222222222221</v>
      </c>
      <c r="H9" s="1">
        <f t="shared" si="5"/>
        <v>0.83333333333333337</v>
      </c>
      <c r="I9" s="1">
        <f t="shared" si="5"/>
        <v>0.875</v>
      </c>
      <c r="J9" s="1">
        <f t="shared" si="5"/>
        <v>0.84722222222222221</v>
      </c>
      <c r="K9" s="1">
        <f t="shared" si="5"/>
        <v>0.84722222222222221</v>
      </c>
      <c r="L9" s="1">
        <f t="shared" si="5"/>
        <v>0.84722222222222221</v>
      </c>
      <c r="M9" s="5">
        <f t="shared" si="5"/>
        <v>0.84931506849315064</v>
      </c>
      <c r="N9" s="1">
        <f t="shared" si="5"/>
        <v>0.86111111111111116</v>
      </c>
      <c r="O9" s="7">
        <f t="shared" si="5"/>
        <v>0.86111111111111116</v>
      </c>
      <c r="P9" s="1">
        <f t="shared" si="5"/>
        <v>0.94444444444444442</v>
      </c>
      <c r="Q9" s="4">
        <f t="shared" si="5"/>
        <v>0.86111111111111116</v>
      </c>
      <c r="R9" s="1">
        <f t="shared" si="5"/>
        <v>0.93055555555555558</v>
      </c>
      <c r="S9" s="1">
        <f t="shared" si="5"/>
        <v>0.93055555555555558</v>
      </c>
      <c r="T9" s="1">
        <f t="shared" si="5"/>
        <v>0.875</v>
      </c>
      <c r="U9" s="1">
        <f t="shared" si="5"/>
        <v>0.88888888888888884</v>
      </c>
      <c r="V9" s="1">
        <f t="shared" si="5"/>
        <v>0.95833333333333337</v>
      </c>
      <c r="W9" s="1">
        <f t="shared" si="5"/>
        <v>0.88888888888888884</v>
      </c>
      <c r="X9" s="1">
        <f t="shared" si="5"/>
        <v>0.93055555555555558</v>
      </c>
      <c r="Y9" s="1">
        <f t="shared" si="5"/>
        <v>0.94444444444444442</v>
      </c>
      <c r="Z9" s="1">
        <f t="shared" si="5"/>
        <v>0.875</v>
      </c>
      <c r="AA9" s="1">
        <f t="shared" si="5"/>
        <v>0.95833333333333337</v>
      </c>
      <c r="AB9" s="1">
        <f t="shared" si="5"/>
        <v>0.86111111111111116</v>
      </c>
      <c r="AC9" s="1">
        <f t="shared" si="5"/>
        <v>0.88888888888888884</v>
      </c>
      <c r="AD9" s="6">
        <f t="shared" si="5"/>
        <v>0.94444444444444442</v>
      </c>
    </row>
    <row r="10" spans="1:30" x14ac:dyDescent="0.25">
      <c r="A10" t="s">
        <v>23</v>
      </c>
      <c r="B10" s="1">
        <f>B2/(B2+B4)</f>
        <v>0.67326732673267331</v>
      </c>
      <c r="C10" s="1">
        <f t="shared" ref="C10:AD10" si="6">C2/(C2+C4)</f>
        <v>0.66666666666666663</v>
      </c>
      <c r="D10" s="1">
        <f t="shared" si="6"/>
        <v>0.68</v>
      </c>
      <c r="E10" s="1">
        <f t="shared" si="6"/>
        <v>0.64516129032258063</v>
      </c>
      <c r="F10" s="1">
        <f t="shared" si="6"/>
        <v>0.72619047619047616</v>
      </c>
      <c r="G10" s="1">
        <f t="shared" si="6"/>
        <v>0.72619047619047616</v>
      </c>
      <c r="H10" s="1">
        <f t="shared" si="6"/>
        <v>0.70588235294117652</v>
      </c>
      <c r="I10" s="1">
        <f t="shared" si="6"/>
        <v>0.71590909090909094</v>
      </c>
      <c r="J10" s="1">
        <f t="shared" si="6"/>
        <v>0.75308641975308643</v>
      </c>
      <c r="K10" s="1">
        <f t="shared" si="6"/>
        <v>0.74390243902439024</v>
      </c>
      <c r="L10" s="1">
        <f t="shared" si="6"/>
        <v>0.72619047619047616</v>
      </c>
      <c r="M10" s="5">
        <f t="shared" si="6"/>
        <v>0.74698795180722888</v>
      </c>
      <c r="N10" s="1">
        <f t="shared" si="6"/>
        <v>0.72941176470588232</v>
      </c>
      <c r="O10" s="7">
        <f t="shared" si="6"/>
        <v>0.72941176470588232</v>
      </c>
      <c r="P10" s="1">
        <f t="shared" si="6"/>
        <v>0.7640449438202247</v>
      </c>
      <c r="Q10" s="4">
        <f t="shared" si="6"/>
        <v>0.78481012658227844</v>
      </c>
      <c r="R10" s="1">
        <f t="shared" si="6"/>
        <v>0.76136363636363635</v>
      </c>
      <c r="S10" s="1">
        <f t="shared" si="6"/>
        <v>0.76136363636363635</v>
      </c>
      <c r="T10" s="1">
        <f t="shared" si="6"/>
        <v>0.76829268292682928</v>
      </c>
      <c r="U10" s="1">
        <f t="shared" si="6"/>
        <v>0.77108433734939763</v>
      </c>
      <c r="V10" s="1">
        <f t="shared" si="6"/>
        <v>0.75824175824175821</v>
      </c>
      <c r="W10" s="1">
        <f t="shared" si="6"/>
        <v>0.77108433734939763</v>
      </c>
      <c r="X10" s="1">
        <f t="shared" si="6"/>
        <v>0.77906976744186052</v>
      </c>
      <c r="Y10" s="1">
        <f t="shared" si="6"/>
        <v>0.77272727272727271</v>
      </c>
      <c r="Z10" s="1">
        <f t="shared" si="6"/>
        <v>0.76829268292682928</v>
      </c>
      <c r="AA10" s="1">
        <f t="shared" si="6"/>
        <v>0.7752808988764045</v>
      </c>
      <c r="AB10" s="1">
        <f t="shared" si="6"/>
        <v>0.76543209876543206</v>
      </c>
      <c r="AC10" s="1">
        <f t="shared" si="6"/>
        <v>0.77108433734939763</v>
      </c>
      <c r="AD10" s="6">
        <f t="shared" si="6"/>
        <v>0.7640449438202247</v>
      </c>
    </row>
    <row r="11" spans="1:30" x14ac:dyDescent="0.25">
      <c r="A11" t="s">
        <v>13</v>
      </c>
      <c r="B11" s="1">
        <f>2*B9*B10/(B9+B10)</f>
        <v>0.78612716763005797</v>
      </c>
      <c r="C11" s="1">
        <f t="shared" ref="C11:AD11" si="7">2*C9*C10/(C9+C10)</f>
        <v>0.78160919540229867</v>
      </c>
      <c r="D11" s="1">
        <f t="shared" si="7"/>
        <v>0.79069767441860472</v>
      </c>
      <c r="E11" s="1">
        <f t="shared" si="7"/>
        <v>0.72727272727272718</v>
      </c>
      <c r="F11" s="1">
        <f t="shared" si="7"/>
        <v>0.78205128205128205</v>
      </c>
      <c r="G11" s="1">
        <f t="shared" si="7"/>
        <v>0.78205128205128205</v>
      </c>
      <c r="H11" s="1">
        <f t="shared" si="7"/>
        <v>0.76433121019108274</v>
      </c>
      <c r="I11" s="1">
        <f t="shared" si="7"/>
        <v>0.78750000000000009</v>
      </c>
      <c r="J11" s="1">
        <f t="shared" si="7"/>
        <v>0.79738562091503273</v>
      </c>
      <c r="K11" s="1">
        <f t="shared" si="7"/>
        <v>0.79220779220779236</v>
      </c>
      <c r="L11" s="1">
        <f t="shared" si="7"/>
        <v>0.78205128205128205</v>
      </c>
      <c r="M11" s="5">
        <f t="shared" si="7"/>
        <v>0.79487179487179493</v>
      </c>
      <c r="N11" s="1">
        <f t="shared" si="7"/>
        <v>0.78980891719745216</v>
      </c>
      <c r="O11" s="7">
        <f t="shared" si="7"/>
        <v>0.78980891719745216</v>
      </c>
      <c r="P11" s="1">
        <f t="shared" si="7"/>
        <v>0.84472049689440998</v>
      </c>
      <c r="Q11" s="4">
        <f t="shared" si="7"/>
        <v>0.82119205298013243</v>
      </c>
      <c r="R11" s="1">
        <f t="shared" si="7"/>
        <v>0.83750000000000002</v>
      </c>
      <c r="S11" s="1">
        <f t="shared" si="7"/>
        <v>0.83750000000000002</v>
      </c>
      <c r="T11" s="1">
        <f t="shared" si="7"/>
        <v>0.81818181818181812</v>
      </c>
      <c r="U11" s="1">
        <f t="shared" si="7"/>
        <v>0.82580645161290323</v>
      </c>
      <c r="V11" s="1">
        <f t="shared" si="7"/>
        <v>0.84662576687116553</v>
      </c>
      <c r="W11" s="1">
        <f t="shared" si="7"/>
        <v>0.82580645161290323</v>
      </c>
      <c r="X11" s="1">
        <f t="shared" si="7"/>
        <v>0.84810126582278478</v>
      </c>
      <c r="Y11" s="1">
        <f t="shared" si="7"/>
        <v>0.85</v>
      </c>
      <c r="Z11" s="1">
        <f t="shared" si="7"/>
        <v>0.81818181818181812</v>
      </c>
      <c r="AA11" s="1">
        <f t="shared" si="7"/>
        <v>0.85714285714285721</v>
      </c>
      <c r="AB11" s="1">
        <f t="shared" si="7"/>
        <v>0.81045751633986929</v>
      </c>
      <c r="AC11" s="1">
        <f t="shared" si="7"/>
        <v>0.82580645161290323</v>
      </c>
      <c r="AD11" s="6">
        <f t="shared" si="7"/>
        <v>0.84472049689440998</v>
      </c>
    </row>
    <row r="12" spans="1:30" x14ac:dyDescent="0.25">
      <c r="A12" t="s">
        <v>14</v>
      </c>
      <c r="B12" s="1">
        <f>B5/(B4+B5)</f>
        <v>0.7421875</v>
      </c>
      <c r="C12" s="1">
        <f t="shared" ref="C12:AD12" si="8">C5/(C4+C5)</f>
        <v>0.734375</v>
      </c>
      <c r="D12" s="1">
        <f t="shared" si="8"/>
        <v>0.75</v>
      </c>
      <c r="E12" s="1">
        <f t="shared" si="8"/>
        <v>0.7421875</v>
      </c>
      <c r="F12" s="1">
        <f t="shared" si="8"/>
        <v>0.8203125</v>
      </c>
      <c r="G12" s="1">
        <f t="shared" si="8"/>
        <v>0.8203125</v>
      </c>
      <c r="H12" s="1">
        <f t="shared" si="8"/>
        <v>0.8046875</v>
      </c>
      <c r="I12" s="1">
        <f t="shared" si="8"/>
        <v>0.8046875</v>
      </c>
      <c r="J12" s="1">
        <f t="shared" si="8"/>
        <v>0.84375</v>
      </c>
      <c r="K12" s="1">
        <f t="shared" si="8"/>
        <v>0.8359375</v>
      </c>
      <c r="L12" s="1">
        <f t="shared" si="8"/>
        <v>0.8203125</v>
      </c>
      <c r="M12" s="5">
        <f t="shared" si="8"/>
        <v>0.83464566929133854</v>
      </c>
      <c r="N12" s="1">
        <f t="shared" si="8"/>
        <v>0.8203125</v>
      </c>
      <c r="O12" s="7">
        <f t="shared" si="8"/>
        <v>0.8203125</v>
      </c>
      <c r="P12" s="1">
        <f t="shared" si="8"/>
        <v>0.8359375</v>
      </c>
      <c r="Q12" s="4">
        <f t="shared" si="8"/>
        <v>0.8671875</v>
      </c>
      <c r="R12" s="1">
        <f t="shared" si="8"/>
        <v>0.8359375</v>
      </c>
      <c r="S12" s="1">
        <f t="shared" si="8"/>
        <v>0.8359375</v>
      </c>
      <c r="T12" s="1">
        <f t="shared" si="8"/>
        <v>0.8515625</v>
      </c>
      <c r="U12" s="1">
        <f t="shared" si="8"/>
        <v>0.8515625</v>
      </c>
      <c r="V12" s="1">
        <f t="shared" si="8"/>
        <v>0.828125</v>
      </c>
      <c r="W12" s="1">
        <f t="shared" si="8"/>
        <v>0.8515625</v>
      </c>
      <c r="X12" s="1">
        <f t="shared" si="8"/>
        <v>0.8515625</v>
      </c>
      <c r="Y12" s="1">
        <f t="shared" si="8"/>
        <v>0.84375</v>
      </c>
      <c r="Z12" s="1">
        <f t="shared" si="8"/>
        <v>0.8515625</v>
      </c>
      <c r="AA12" s="1">
        <f t="shared" si="8"/>
        <v>0.84375</v>
      </c>
      <c r="AB12" s="1">
        <f t="shared" si="8"/>
        <v>0.8515625</v>
      </c>
      <c r="AC12" s="1">
        <f t="shared" si="8"/>
        <v>0.8515625</v>
      </c>
      <c r="AD12" s="6">
        <f t="shared" si="8"/>
        <v>0.8359375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5">
        <v>0.9</v>
      </c>
      <c r="N13" s="1">
        <v>0.9</v>
      </c>
      <c r="O13" s="4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Emo-Pass_rn</vt:lpstr>
      <vt:lpstr>Emo-Fail_rn</vt:lpstr>
      <vt:lpstr>Emo-Dropout_rn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2024-08-01T13:56:37Z</dcterms:modified>
</cp:coreProperties>
</file>