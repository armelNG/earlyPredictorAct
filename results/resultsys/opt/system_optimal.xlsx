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opt\"/>
    </mc:Choice>
  </mc:AlternateContent>
  <xr:revisionPtr revIDLastSave="0" documentId="13_ncr:1_{0B690EE3-BFFF-462D-A47A-5B54842CDB10}" xr6:coauthVersionLast="47" xr6:coauthVersionMax="47" xr10:uidLastSave="{00000000-0000-0000-0000-000000000000}"/>
  <bookViews>
    <workbookView xWindow="28680" yWindow="-120" windowWidth="29040" windowHeight="15840" activeTab="6" xr2:uid="{E5B429C0-578C-4182-9D54-49B4EDF34580}"/>
  </bookViews>
  <sheets>
    <sheet name="AnalyseTCD" sheetId="7" r:id="rId1"/>
    <sheet name="ResultsPass" sheetId="8" r:id="rId2"/>
    <sheet name="ResultsFail" sheetId="9" r:id="rId3"/>
    <sheet name="ResultsDropout" sheetId="10" r:id="rId4"/>
    <sheet name="Analyse" sheetId="6" r:id="rId5"/>
    <sheet name="Frame_sys_results" sheetId="11" r:id="rId6"/>
    <sheet name="Analyse (2)" sheetId="12" r:id="rId7"/>
  </sheets>
  <definedNames>
    <definedName name="_xlnm._FilterDatabase" localSheetId="6" hidden="1">'Analyse (2)'!$A$1:$AF$201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1" i="11" l="1"/>
  <c r="A2" i="11"/>
  <c r="B2" i="11" s="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1" i="11"/>
  <c r="AD51" i="10" l="1"/>
  <c r="V51" i="10"/>
  <c r="U51" i="10"/>
  <c r="R51" i="10"/>
  <c r="Q51" i="10"/>
  <c r="O51" i="10"/>
  <c r="G51" i="10"/>
  <c r="C51" i="10"/>
  <c r="B51" i="10"/>
  <c r="AC50" i="10"/>
  <c r="AB50" i="10"/>
  <c r="Z50" i="10"/>
  <c r="V50" i="10"/>
  <c r="U50" i="10"/>
  <c r="O50" i="10"/>
  <c r="L50" i="10"/>
  <c r="K50" i="10"/>
  <c r="J50" i="10"/>
  <c r="I50" i="10"/>
  <c r="H50" i="10"/>
  <c r="G50" i="10"/>
  <c r="C50" i="10"/>
  <c r="AB49" i="10"/>
  <c r="Z49" i="10"/>
  <c r="Y49" i="10"/>
  <c r="V49" i="10"/>
  <c r="U49" i="10"/>
  <c r="T49" i="10"/>
  <c r="R49" i="10"/>
  <c r="P49" i="10"/>
  <c r="O49" i="10"/>
  <c r="N49" i="10"/>
  <c r="G49" i="10"/>
  <c r="F49" i="10"/>
  <c r="E49" i="10"/>
  <c r="D49" i="10"/>
  <c r="Z48" i="10"/>
  <c r="Y48" i="10"/>
  <c r="X48" i="10"/>
  <c r="W48" i="10"/>
  <c r="V48" i="10"/>
  <c r="U48" i="10"/>
  <c r="L48" i="10"/>
  <c r="K48" i="10"/>
  <c r="J48" i="10"/>
  <c r="G48" i="10"/>
  <c r="F48" i="10"/>
  <c r="C48" i="10"/>
  <c r="B48" i="10"/>
  <c r="AB51" i="9"/>
  <c r="AA50" i="9"/>
  <c r="AA51" i="9"/>
  <c r="Z50" i="9"/>
  <c r="Z48" i="9"/>
  <c r="Y50" i="9"/>
  <c r="Y51" i="9"/>
  <c r="Y48" i="9"/>
  <c r="X50" i="9"/>
  <c r="X51" i="9"/>
  <c r="W50" i="9"/>
  <c r="W51" i="9"/>
  <c r="V50" i="9"/>
  <c r="V51" i="9"/>
  <c r="V48" i="9"/>
  <c r="U50" i="9"/>
  <c r="U51" i="9"/>
  <c r="U48" i="9"/>
  <c r="T50" i="9"/>
  <c r="T51" i="9"/>
  <c r="S50" i="9"/>
  <c r="S51" i="9"/>
  <c r="R49" i="9"/>
  <c r="R50" i="9"/>
  <c r="R51" i="9"/>
  <c r="R48" i="9"/>
  <c r="P49" i="9"/>
  <c r="P51" i="9"/>
  <c r="P48" i="9"/>
  <c r="O51" i="9"/>
  <c r="O48" i="9"/>
  <c r="N49" i="9"/>
  <c r="N50" i="9"/>
  <c r="N51" i="9"/>
  <c r="N48" i="9"/>
  <c r="L49" i="9"/>
  <c r="L51" i="9"/>
  <c r="L48" i="9"/>
  <c r="K51" i="9"/>
  <c r="K48" i="9"/>
  <c r="J49" i="9"/>
  <c r="J50" i="9"/>
  <c r="J51" i="9"/>
  <c r="J48" i="9"/>
  <c r="H49" i="9"/>
  <c r="H50" i="9"/>
  <c r="H51" i="9"/>
  <c r="H48" i="9"/>
  <c r="G49" i="9"/>
  <c r="D49" i="9"/>
  <c r="D50" i="9"/>
  <c r="D48" i="9"/>
  <c r="C49" i="9"/>
  <c r="AB10" i="10"/>
  <c r="AC51" i="10" s="1"/>
  <c r="AB9" i="10"/>
  <c r="AB8" i="10"/>
  <c r="AC49" i="10" s="1"/>
  <c r="AB7" i="10"/>
  <c r="AC48" i="10" s="1"/>
  <c r="AB5" i="10"/>
  <c r="AB51" i="10" s="1"/>
  <c r="AB4" i="10"/>
  <c r="AB3" i="10"/>
  <c r="AB2" i="10"/>
  <c r="AB48" i="10" s="1"/>
  <c r="U45" i="10"/>
  <c r="AA51" i="10" s="1"/>
  <c r="U44" i="10"/>
  <c r="AA50" i="10" s="1"/>
  <c r="U43" i="10"/>
  <c r="AA49" i="10" s="1"/>
  <c r="U42" i="10"/>
  <c r="AA48" i="10" s="1"/>
  <c r="U40" i="10"/>
  <c r="Z51" i="10" s="1"/>
  <c r="U39" i="10"/>
  <c r="U38" i="10"/>
  <c r="U37" i="10"/>
  <c r="U35" i="10"/>
  <c r="Y51" i="10" s="1"/>
  <c r="U34" i="10"/>
  <c r="Y50" i="10" s="1"/>
  <c r="U33" i="10"/>
  <c r="U32" i="10"/>
  <c r="U30" i="10"/>
  <c r="X51" i="10" s="1"/>
  <c r="U29" i="10"/>
  <c r="X50" i="10" s="1"/>
  <c r="U28" i="10"/>
  <c r="X49" i="10" s="1"/>
  <c r="U27" i="10"/>
  <c r="U25" i="10"/>
  <c r="W51" i="10" s="1"/>
  <c r="U24" i="10"/>
  <c r="W50" i="10" s="1"/>
  <c r="U23" i="10"/>
  <c r="W49" i="10" s="1"/>
  <c r="U22" i="10"/>
  <c r="U20" i="10"/>
  <c r="U19" i="10"/>
  <c r="U18" i="10"/>
  <c r="U17" i="10"/>
  <c r="U15" i="10"/>
  <c r="U14" i="10"/>
  <c r="U13" i="10"/>
  <c r="U12" i="10"/>
  <c r="U10" i="10"/>
  <c r="T51" i="10" s="1"/>
  <c r="U9" i="10"/>
  <c r="T50" i="10" s="1"/>
  <c r="U8" i="10"/>
  <c r="U7" i="10"/>
  <c r="T48" i="10" s="1"/>
  <c r="U5" i="10"/>
  <c r="S51" i="10" s="1"/>
  <c r="U4" i="10"/>
  <c r="S50" i="10" s="1"/>
  <c r="U3" i="10"/>
  <c r="S49" i="10" s="1"/>
  <c r="U2" i="10"/>
  <c r="S48" i="10" s="1"/>
  <c r="N45" i="10"/>
  <c r="N44" i="10"/>
  <c r="R50" i="10" s="1"/>
  <c r="N43" i="10"/>
  <c r="N42" i="10"/>
  <c r="R48" i="10" s="1"/>
  <c r="N40" i="10"/>
  <c r="N39" i="10"/>
  <c r="Q50" i="10" s="1"/>
  <c r="N38" i="10"/>
  <c r="Q49" i="10" s="1"/>
  <c r="N37" i="10"/>
  <c r="Q48" i="10" s="1"/>
  <c r="N35" i="10"/>
  <c r="P51" i="10" s="1"/>
  <c r="N34" i="10"/>
  <c r="P50" i="10" s="1"/>
  <c r="N33" i="10"/>
  <c r="N32" i="10"/>
  <c r="P48" i="10" s="1"/>
  <c r="N30" i="10"/>
  <c r="N29" i="10"/>
  <c r="N28" i="10"/>
  <c r="N27" i="10"/>
  <c r="O48" i="10" s="1"/>
  <c r="N25" i="10"/>
  <c r="N51" i="10" s="1"/>
  <c r="N24" i="10"/>
  <c r="N50" i="10" s="1"/>
  <c r="N23" i="10"/>
  <c r="N22" i="10"/>
  <c r="N48" i="10" s="1"/>
  <c r="N20" i="10"/>
  <c r="M51" i="10" s="1"/>
  <c r="N19" i="10"/>
  <c r="M50" i="10" s="1"/>
  <c r="N18" i="10"/>
  <c r="M49" i="10" s="1"/>
  <c r="N17" i="10"/>
  <c r="M48" i="10" s="1"/>
  <c r="N15" i="10"/>
  <c r="L51" i="10" s="1"/>
  <c r="N14" i="10"/>
  <c r="N13" i="10"/>
  <c r="L49" i="10" s="1"/>
  <c r="N12" i="10"/>
  <c r="N10" i="10"/>
  <c r="K51" i="10" s="1"/>
  <c r="N9" i="10"/>
  <c r="N8" i="10"/>
  <c r="K49" i="10" s="1"/>
  <c r="N7" i="10"/>
  <c r="N5" i="10"/>
  <c r="J51" i="10" s="1"/>
  <c r="N4" i="10"/>
  <c r="N3" i="10"/>
  <c r="J49" i="10" s="1"/>
  <c r="N2" i="10"/>
  <c r="G45" i="10"/>
  <c r="I51" i="10" s="1"/>
  <c r="G44" i="10"/>
  <c r="G43" i="10"/>
  <c r="I49" i="10" s="1"/>
  <c r="G42" i="10"/>
  <c r="I48" i="10" s="1"/>
  <c r="G40" i="10"/>
  <c r="H51" i="10" s="1"/>
  <c r="G39" i="10"/>
  <c r="G38" i="10"/>
  <c r="H49" i="10" s="1"/>
  <c r="G37" i="10"/>
  <c r="H48" i="10" s="1"/>
  <c r="G35" i="10"/>
  <c r="G34" i="10"/>
  <c r="G33" i="10"/>
  <c r="G32" i="10"/>
  <c r="G30" i="10"/>
  <c r="F51" i="10" s="1"/>
  <c r="G29" i="10"/>
  <c r="F50" i="10" s="1"/>
  <c r="G28" i="10"/>
  <c r="G27" i="10"/>
  <c r="G25" i="10"/>
  <c r="E51" i="10" s="1"/>
  <c r="G24" i="10"/>
  <c r="E50" i="10" s="1"/>
  <c r="G23" i="10"/>
  <c r="G22" i="10"/>
  <c r="E48" i="10" s="1"/>
  <c r="G20" i="10"/>
  <c r="D51" i="10" s="1"/>
  <c r="G19" i="10"/>
  <c r="D50" i="10" s="1"/>
  <c r="G18" i="10"/>
  <c r="G17" i="10"/>
  <c r="D48" i="10" s="1"/>
  <c r="G15" i="10"/>
  <c r="G14" i="10"/>
  <c r="G13" i="10"/>
  <c r="C49" i="10" s="1"/>
  <c r="G12" i="10"/>
  <c r="G10" i="10"/>
  <c r="G9" i="10"/>
  <c r="B50" i="10" s="1"/>
  <c r="G8" i="10"/>
  <c r="B49" i="10" s="1"/>
  <c r="G7" i="10"/>
  <c r="G5" i="10"/>
  <c r="G4" i="10"/>
  <c r="AD50" i="10" s="1"/>
  <c r="G3" i="10"/>
  <c r="AD49" i="10" s="1"/>
  <c r="G2" i="10"/>
  <c r="AD48" i="10" s="1"/>
  <c r="AB10" i="9"/>
  <c r="AC51" i="9" s="1"/>
  <c r="AB9" i="9"/>
  <c r="AC50" i="9" s="1"/>
  <c r="AB8" i="9"/>
  <c r="AC49" i="9" s="1"/>
  <c r="AB7" i="9"/>
  <c r="AC48" i="9" s="1"/>
  <c r="AB5" i="9"/>
  <c r="AB4" i="9"/>
  <c r="AB50" i="9" s="1"/>
  <c r="AB3" i="9"/>
  <c r="AB49" i="9" s="1"/>
  <c r="AB2" i="9"/>
  <c r="AB48" i="9" s="1"/>
  <c r="U45" i="9"/>
  <c r="U44" i="9"/>
  <c r="U43" i="9"/>
  <c r="AA49" i="9" s="1"/>
  <c r="U42" i="9"/>
  <c r="AA48" i="9" s="1"/>
  <c r="U40" i="9"/>
  <c r="Z51" i="9" s="1"/>
  <c r="U39" i="9"/>
  <c r="U38" i="9"/>
  <c r="Z49" i="9" s="1"/>
  <c r="U37" i="9"/>
  <c r="U35" i="9"/>
  <c r="U34" i="9"/>
  <c r="U33" i="9"/>
  <c r="Y49" i="9" s="1"/>
  <c r="U32" i="9"/>
  <c r="U30" i="9"/>
  <c r="U29" i="9"/>
  <c r="U28" i="9"/>
  <c r="X49" i="9" s="1"/>
  <c r="U27" i="9"/>
  <c r="X48" i="9" s="1"/>
  <c r="U25" i="9"/>
  <c r="U24" i="9"/>
  <c r="U23" i="9"/>
  <c r="W49" i="9" s="1"/>
  <c r="U22" i="9"/>
  <c r="W48" i="9" s="1"/>
  <c r="U20" i="9"/>
  <c r="U19" i="9"/>
  <c r="U18" i="9"/>
  <c r="V49" i="9" s="1"/>
  <c r="U17" i="9"/>
  <c r="U15" i="9"/>
  <c r="U14" i="9"/>
  <c r="U13" i="9"/>
  <c r="U49" i="9" s="1"/>
  <c r="U12" i="9"/>
  <c r="U10" i="9"/>
  <c r="U9" i="9"/>
  <c r="U8" i="9"/>
  <c r="T49" i="9" s="1"/>
  <c r="U7" i="9"/>
  <c r="T48" i="9" s="1"/>
  <c r="U5" i="9"/>
  <c r="U4" i="9"/>
  <c r="U3" i="9"/>
  <c r="S49" i="9" s="1"/>
  <c r="U2" i="9"/>
  <c r="S48" i="9" s="1"/>
  <c r="N45" i="9"/>
  <c r="N44" i="9"/>
  <c r="N43" i="9"/>
  <c r="N42" i="9"/>
  <c r="N40" i="9"/>
  <c r="Q51" i="9" s="1"/>
  <c r="N39" i="9"/>
  <c r="Q50" i="9" s="1"/>
  <c r="N38" i="9"/>
  <c r="Q49" i="9" s="1"/>
  <c r="N37" i="9"/>
  <c r="Q48" i="9" s="1"/>
  <c r="N35" i="9"/>
  <c r="N34" i="9"/>
  <c r="P50" i="9" s="1"/>
  <c r="N33" i="9"/>
  <c r="N32" i="9"/>
  <c r="N30" i="9"/>
  <c r="N29" i="9"/>
  <c r="O50" i="9" s="1"/>
  <c r="N28" i="9"/>
  <c r="O49" i="9" s="1"/>
  <c r="N27" i="9"/>
  <c r="N25" i="9"/>
  <c r="N24" i="9"/>
  <c r="N23" i="9"/>
  <c r="N22" i="9"/>
  <c r="N20" i="9"/>
  <c r="M51" i="9" s="1"/>
  <c r="N19" i="9"/>
  <c r="M50" i="9" s="1"/>
  <c r="N18" i="9"/>
  <c r="M49" i="9" s="1"/>
  <c r="N17" i="9"/>
  <c r="M48" i="9" s="1"/>
  <c r="N15" i="9"/>
  <c r="N14" i="9"/>
  <c r="L50" i="9" s="1"/>
  <c r="N13" i="9"/>
  <c r="N12" i="9"/>
  <c r="N10" i="9"/>
  <c r="N9" i="9"/>
  <c r="K50" i="9" s="1"/>
  <c r="N8" i="9"/>
  <c r="K49" i="9" s="1"/>
  <c r="N7" i="9"/>
  <c r="N5" i="9"/>
  <c r="N4" i="9"/>
  <c r="N3" i="9"/>
  <c r="N2" i="9"/>
  <c r="G45" i="9"/>
  <c r="I51" i="9" s="1"/>
  <c r="G44" i="9"/>
  <c r="I50" i="9" s="1"/>
  <c r="G43" i="9"/>
  <c r="I49" i="9" s="1"/>
  <c r="G42" i="9"/>
  <c r="I48" i="9" s="1"/>
  <c r="G40" i="9"/>
  <c r="G39" i="9"/>
  <c r="G38" i="9"/>
  <c r="G37" i="9"/>
  <c r="G35" i="9"/>
  <c r="G51" i="9" s="1"/>
  <c r="G34" i="9"/>
  <c r="G50" i="9" s="1"/>
  <c r="G33" i="9"/>
  <c r="G32" i="9"/>
  <c r="G48" i="9" s="1"/>
  <c r="G30" i="9"/>
  <c r="F51" i="9" s="1"/>
  <c r="G29" i="9"/>
  <c r="F50" i="9" s="1"/>
  <c r="G28" i="9"/>
  <c r="F49" i="9" s="1"/>
  <c r="G27" i="9"/>
  <c r="F48" i="9" s="1"/>
  <c r="G25" i="9"/>
  <c r="E51" i="9" s="1"/>
  <c r="G24" i="9"/>
  <c r="E50" i="9" s="1"/>
  <c r="G23" i="9"/>
  <c r="E49" i="9" s="1"/>
  <c r="G22" i="9"/>
  <c r="E48" i="9" s="1"/>
  <c r="G20" i="9"/>
  <c r="D51" i="9" s="1"/>
  <c r="G19" i="9"/>
  <c r="G18" i="9"/>
  <c r="G17" i="9"/>
  <c r="G15" i="9"/>
  <c r="C51" i="9" s="1"/>
  <c r="G14" i="9"/>
  <c r="C50" i="9" s="1"/>
  <c r="G13" i="9"/>
  <c r="G12" i="9"/>
  <c r="C48" i="9" s="1"/>
  <c r="G10" i="9"/>
  <c r="B51" i="9" s="1"/>
  <c r="G9" i="9"/>
  <c r="B50" i="9" s="1"/>
  <c r="G8" i="9"/>
  <c r="B49" i="9" s="1"/>
  <c r="G7" i="9"/>
  <c r="B48" i="9" s="1"/>
  <c r="G5" i="9"/>
  <c r="AD51" i="9" s="1"/>
  <c r="G4" i="9"/>
  <c r="AD50" i="9" s="1"/>
  <c r="G3" i="9"/>
  <c r="AD49" i="9" s="1"/>
  <c r="G2" i="9"/>
  <c r="AD48" i="9" s="1"/>
  <c r="AB10" i="8" l="1"/>
  <c r="AC51" i="8" s="1"/>
  <c r="AB9" i="8"/>
  <c r="AC50" i="8" s="1"/>
  <c r="AB8" i="8"/>
  <c r="AC49" i="8" s="1"/>
  <c r="AB7" i="8"/>
  <c r="AC48" i="8" s="1"/>
  <c r="AB5" i="8"/>
  <c r="AB51" i="8" s="1"/>
  <c r="AB4" i="8"/>
  <c r="AB50" i="8" s="1"/>
  <c r="AB3" i="8"/>
  <c r="AB49" i="8" s="1"/>
  <c r="AB2" i="8"/>
  <c r="AB48" i="8" s="1"/>
  <c r="U45" i="8"/>
  <c r="AA51" i="8" s="1"/>
  <c r="U44" i="8"/>
  <c r="AA50" i="8" s="1"/>
  <c r="U43" i="8"/>
  <c r="AA49" i="8" s="1"/>
  <c r="U42" i="8"/>
  <c r="AA48" i="8" s="1"/>
  <c r="U40" i="8"/>
  <c r="Z51" i="8" s="1"/>
  <c r="U39" i="8"/>
  <c r="Z50" i="8" s="1"/>
  <c r="U38" i="8"/>
  <c r="Z49" i="8" s="1"/>
  <c r="U37" i="8"/>
  <c r="Z48" i="8" s="1"/>
  <c r="U35" i="8"/>
  <c r="Y51" i="8" s="1"/>
  <c r="U34" i="8"/>
  <c r="Y50" i="8" s="1"/>
  <c r="U33" i="8"/>
  <c r="Y49" i="8" s="1"/>
  <c r="U32" i="8"/>
  <c r="Y48" i="8" s="1"/>
  <c r="U30" i="8"/>
  <c r="X51" i="8" s="1"/>
  <c r="U29" i="8"/>
  <c r="X50" i="8" s="1"/>
  <c r="U28" i="8"/>
  <c r="X49" i="8" s="1"/>
  <c r="U27" i="8"/>
  <c r="X48" i="8" s="1"/>
  <c r="U25" i="8"/>
  <c r="W51" i="8" s="1"/>
  <c r="U24" i="8"/>
  <c r="W50" i="8" s="1"/>
  <c r="U23" i="8"/>
  <c r="W49" i="8" s="1"/>
  <c r="U22" i="8"/>
  <c r="W48" i="8" s="1"/>
  <c r="U20" i="8"/>
  <c r="V51" i="8" s="1"/>
  <c r="U19" i="8"/>
  <c r="V50" i="8" s="1"/>
  <c r="U18" i="8"/>
  <c r="V49" i="8" s="1"/>
  <c r="U17" i="8"/>
  <c r="V48" i="8" s="1"/>
  <c r="U15" i="8"/>
  <c r="U51" i="8" s="1"/>
  <c r="U14" i="8"/>
  <c r="U50" i="8" s="1"/>
  <c r="U13" i="8"/>
  <c r="U49" i="8" s="1"/>
  <c r="U12" i="8"/>
  <c r="U48" i="8" s="1"/>
  <c r="U10" i="8"/>
  <c r="T51" i="8" s="1"/>
  <c r="U9" i="8"/>
  <c r="T50" i="8" s="1"/>
  <c r="U8" i="8"/>
  <c r="T49" i="8" s="1"/>
  <c r="U7" i="8"/>
  <c r="T48" i="8" s="1"/>
  <c r="U5" i="8"/>
  <c r="S51" i="8" s="1"/>
  <c r="U4" i="8"/>
  <c r="S50" i="8" s="1"/>
  <c r="U3" i="8"/>
  <c r="S49" i="8" s="1"/>
  <c r="U2" i="8"/>
  <c r="S48" i="8" s="1"/>
  <c r="N45" i="8"/>
  <c r="R51" i="8" s="1"/>
  <c r="N44" i="8"/>
  <c r="R50" i="8" s="1"/>
  <c r="N43" i="8"/>
  <c r="R49" i="8" s="1"/>
  <c r="N42" i="8"/>
  <c r="R48" i="8" s="1"/>
  <c r="N40" i="8"/>
  <c r="Q51" i="8" s="1"/>
  <c r="N39" i="8"/>
  <c r="Q50" i="8" s="1"/>
  <c r="N38" i="8"/>
  <c r="Q49" i="8" s="1"/>
  <c r="N37" i="8"/>
  <c r="Q48" i="8" s="1"/>
  <c r="N35" i="8"/>
  <c r="P51" i="8" s="1"/>
  <c r="N34" i="8"/>
  <c r="P50" i="8" s="1"/>
  <c r="N33" i="8"/>
  <c r="P49" i="8" s="1"/>
  <c r="N32" i="8"/>
  <c r="P48" i="8" s="1"/>
  <c r="N30" i="8"/>
  <c r="O51" i="8" s="1"/>
  <c r="N29" i="8"/>
  <c r="O50" i="8" s="1"/>
  <c r="N28" i="8"/>
  <c r="O49" i="8" s="1"/>
  <c r="N27" i="8"/>
  <c r="O48" i="8" s="1"/>
  <c r="N25" i="8"/>
  <c r="N51" i="8" s="1"/>
  <c r="N24" i="8"/>
  <c r="N50" i="8" s="1"/>
  <c r="N23" i="8"/>
  <c r="N49" i="8" s="1"/>
  <c r="N22" i="8"/>
  <c r="N48" i="8" s="1"/>
  <c r="N20" i="8"/>
  <c r="M51" i="8" s="1"/>
  <c r="N19" i="8"/>
  <c r="M50" i="8" s="1"/>
  <c r="N18" i="8"/>
  <c r="M49" i="8" s="1"/>
  <c r="N17" i="8"/>
  <c r="M48" i="8" s="1"/>
  <c r="N15" i="8"/>
  <c r="L51" i="8" s="1"/>
  <c r="N14" i="8"/>
  <c r="L50" i="8" s="1"/>
  <c r="N13" i="8"/>
  <c r="L49" i="8" s="1"/>
  <c r="N12" i="8"/>
  <c r="L48" i="8" s="1"/>
  <c r="N10" i="8"/>
  <c r="K51" i="8" s="1"/>
  <c r="N9" i="8"/>
  <c r="K50" i="8" s="1"/>
  <c r="N8" i="8"/>
  <c r="K49" i="8" s="1"/>
  <c r="N7" i="8"/>
  <c r="K48" i="8" s="1"/>
  <c r="N5" i="8"/>
  <c r="J51" i="8" s="1"/>
  <c r="N4" i="8"/>
  <c r="J50" i="8" s="1"/>
  <c r="N3" i="8"/>
  <c r="J49" i="8" s="1"/>
  <c r="N2" i="8"/>
  <c r="J48" i="8" s="1"/>
  <c r="G45" i="8"/>
  <c r="I51" i="8" s="1"/>
  <c r="G44" i="8"/>
  <c r="I50" i="8" s="1"/>
  <c r="G43" i="8"/>
  <c r="I49" i="8" s="1"/>
  <c r="G42" i="8"/>
  <c r="I48" i="8" s="1"/>
  <c r="G40" i="8"/>
  <c r="H51" i="8" s="1"/>
  <c r="G39" i="8"/>
  <c r="H50" i="8" s="1"/>
  <c r="G38" i="8"/>
  <c r="H49" i="8" s="1"/>
  <c r="G37" i="8"/>
  <c r="H48" i="8" s="1"/>
  <c r="G35" i="8"/>
  <c r="G51" i="8" s="1"/>
  <c r="G34" i="8"/>
  <c r="G50" i="8" s="1"/>
  <c r="G33" i="8"/>
  <c r="G49" i="8" s="1"/>
  <c r="G32" i="8"/>
  <c r="G48" i="8" s="1"/>
  <c r="G30" i="8"/>
  <c r="F51" i="8" s="1"/>
  <c r="G29" i="8"/>
  <c r="F50" i="8" s="1"/>
  <c r="G28" i="8"/>
  <c r="F49" i="8" s="1"/>
  <c r="G27" i="8"/>
  <c r="F48" i="8" s="1"/>
  <c r="G25" i="8"/>
  <c r="E51" i="8" s="1"/>
  <c r="G24" i="8"/>
  <c r="E50" i="8" s="1"/>
  <c r="G23" i="8"/>
  <c r="E49" i="8" s="1"/>
  <c r="G22" i="8"/>
  <c r="E48" i="8" s="1"/>
  <c r="G20" i="8"/>
  <c r="D51" i="8" s="1"/>
  <c r="G19" i="8"/>
  <c r="D50" i="8" s="1"/>
  <c r="G18" i="8"/>
  <c r="D49" i="8" s="1"/>
  <c r="G17" i="8"/>
  <c r="D48" i="8" s="1"/>
  <c r="G15" i="8"/>
  <c r="C51" i="8" s="1"/>
  <c r="G14" i="8"/>
  <c r="C50" i="8" s="1"/>
  <c r="G13" i="8"/>
  <c r="C49" i="8" s="1"/>
  <c r="G12" i="8"/>
  <c r="C48" i="8" s="1"/>
  <c r="G10" i="8"/>
  <c r="B51" i="8" s="1"/>
  <c r="G9" i="8"/>
  <c r="B50" i="8" s="1"/>
  <c r="G8" i="8"/>
  <c r="B49" i="8" s="1"/>
  <c r="G7" i="8"/>
  <c r="B48" i="8" s="1"/>
  <c r="G5" i="8"/>
  <c r="AD51" i="8" s="1"/>
  <c r="G4" i="8"/>
  <c r="AD50" i="8" s="1"/>
  <c r="G3" i="8"/>
  <c r="AD49" i="8" s="1"/>
  <c r="G2" i="8"/>
  <c r="AD48" i="8" s="1"/>
</calcChain>
</file>

<file path=xl/sharedStrings.xml><?xml version="1.0" encoding="utf-8"?>
<sst xmlns="http://schemas.openxmlformats.org/spreadsheetml/2006/main" count="12991" uniqueCount="23">
  <si>
    <t>ID_Student</t>
  </si>
  <si>
    <t>code_etudiant</t>
  </si>
  <si>
    <t>Resultat_reel</t>
  </si>
  <si>
    <t>Dropout</t>
  </si>
  <si>
    <t>Fail</t>
  </si>
  <si>
    <t>Pass</t>
  </si>
  <si>
    <t>(vide)</t>
  </si>
  <si>
    <t>Total général</t>
  </si>
  <si>
    <t>Pass - Pass (VP)</t>
  </si>
  <si>
    <t>Pass - Others (FN)</t>
  </si>
  <si>
    <t>Others - Pass (FP)</t>
  </si>
  <si>
    <t>Others - Others(VN)</t>
  </si>
  <si>
    <t>Fail - Fail (VP)</t>
  </si>
  <si>
    <t>Fail - Others (FN)</t>
  </si>
  <si>
    <t>Others - Fail (FP)</t>
  </si>
  <si>
    <t>Do - Do (VP)</t>
  </si>
  <si>
    <t>Do - Others (FN)</t>
  </si>
  <si>
    <t>Others - Do (FP)</t>
  </si>
  <si>
    <t>29</t>
  </si>
  <si>
    <t>Nombre de 29</t>
  </si>
  <si>
    <t>Final_frame</t>
  </si>
  <si>
    <t>Module</t>
  </si>
  <si>
    <t>EcartModule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</si>
</sst>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el NGATCHUI LEUMBE" refreshedDate="45527.526875462965" createdVersion="8" refreshedVersion="8" minRefreshableVersion="3" recordCount="201" xr:uid="{B17E51A8-089A-4692-94BD-3C2B8868C430}">
  <cacheSource type="worksheet">
    <worksheetSource ref="A1:AF1048576" sheet="Analyse"/>
  </cacheSource>
  <cacheFields count="32">
    <cacheField name="ID_Student" numFmtId="0">
      <sharedItems containsString="0" containsBlank="1" containsNumber="1" containsInteger="1" minValue="0" maxValue="199"/>
    </cacheField>
    <cacheField name="code_etudiant" numFmtId="0">
      <sharedItems containsString="0" containsBlank="1" containsNumber="1" containsInteger="1" minValue="3" maxValue="2365"/>
    </cacheField>
    <cacheField name="Resultat_reel" numFmtId="0">
      <sharedItems containsBlank="1" count="4">
        <s v="Fail"/>
        <s v="Dropout"/>
        <s v="Pass"/>
        <m/>
      </sharedItems>
    </cacheField>
    <cacheField name="1" numFmtId="0">
      <sharedItems containsBlank="1" count="3">
        <s v="Dropout"/>
        <s v="Pass"/>
        <m/>
      </sharedItems>
    </cacheField>
    <cacheField name="2" numFmtId="0">
      <sharedItems containsBlank="1" count="3">
        <s v="Dropout"/>
        <s v="Pass"/>
        <m/>
      </sharedItems>
    </cacheField>
    <cacheField name="3" numFmtId="0">
      <sharedItems containsBlank="1" count="3">
        <s v="Dropout"/>
        <s v="Pass"/>
        <m/>
      </sharedItems>
    </cacheField>
    <cacheField name="4" numFmtId="0">
      <sharedItems containsBlank="1" count="3">
        <s v="Dropout"/>
        <s v="Pass"/>
        <m/>
      </sharedItems>
    </cacheField>
    <cacheField name="5" numFmtId="0">
      <sharedItems containsBlank="1" count="4">
        <s v="Dropout"/>
        <s v="Pass"/>
        <s v="Fail"/>
        <m/>
      </sharedItems>
    </cacheField>
    <cacheField name="6" numFmtId="0">
      <sharedItems containsBlank="1" count="4">
        <s v="Dropout"/>
        <s v="Pass"/>
        <s v="Fail"/>
        <m/>
      </sharedItems>
    </cacheField>
    <cacheField name="7" numFmtId="0">
      <sharedItems containsBlank="1" count="4">
        <s v="Dropout"/>
        <s v="Pass"/>
        <s v="Fail"/>
        <m/>
      </sharedItems>
    </cacheField>
    <cacheField name="8" numFmtId="0">
      <sharedItems containsBlank="1" count="4">
        <s v="Dropout"/>
        <s v="Pass"/>
        <s v="Fail"/>
        <m/>
      </sharedItems>
    </cacheField>
    <cacheField name="9" numFmtId="0">
      <sharedItems containsBlank="1" count="4">
        <s v="Dropout"/>
        <s v="Pass"/>
        <s v="Fail"/>
        <m/>
      </sharedItems>
    </cacheField>
    <cacheField name="10" numFmtId="0">
      <sharedItems containsBlank="1" count="4">
        <s v="Dropout"/>
        <s v="Pass"/>
        <s v="Fail"/>
        <m/>
      </sharedItems>
    </cacheField>
    <cacheField name="11" numFmtId="0">
      <sharedItems containsBlank="1" count="4">
        <s v="Dropout"/>
        <s v="Pass"/>
        <s v="Fail"/>
        <m/>
      </sharedItems>
    </cacheField>
    <cacheField name="12" numFmtId="0">
      <sharedItems containsBlank="1" count="4">
        <s v="Dropout"/>
        <s v="Pass"/>
        <s v="Fail"/>
        <m/>
      </sharedItems>
    </cacheField>
    <cacheField name="13" numFmtId="0">
      <sharedItems containsBlank="1" count="4">
        <s v="Dropout"/>
        <s v="Pass"/>
        <s v="Fail"/>
        <m/>
      </sharedItems>
    </cacheField>
    <cacheField name="14" numFmtId="0">
      <sharedItems containsBlank="1" count="4">
        <s v="Dropout"/>
        <s v="Pass"/>
        <s v="Fail"/>
        <m/>
      </sharedItems>
    </cacheField>
    <cacheField name="15" numFmtId="0">
      <sharedItems containsBlank="1" count="4">
        <s v="Dropout"/>
        <s v="Pass"/>
        <s v="Fail"/>
        <m/>
      </sharedItems>
    </cacheField>
    <cacheField name="16" numFmtId="0">
      <sharedItems containsBlank="1" count="4">
        <s v="Dropout"/>
        <s v="Pass"/>
        <s v="Fail"/>
        <m/>
      </sharedItems>
    </cacheField>
    <cacheField name="17" numFmtId="0">
      <sharedItems containsBlank="1" count="4">
        <s v="Dropout"/>
        <s v="Pass"/>
        <s v="Fail"/>
        <m/>
      </sharedItems>
    </cacheField>
    <cacheField name="18" numFmtId="0">
      <sharedItems containsBlank="1" count="4">
        <s v="Dropout"/>
        <s v="Pass"/>
        <s v="Fail"/>
        <m/>
      </sharedItems>
    </cacheField>
    <cacheField name="19" numFmtId="0">
      <sharedItems containsBlank="1" count="4">
        <s v="Dropout"/>
        <s v="Pass"/>
        <s v="Fail"/>
        <m/>
      </sharedItems>
    </cacheField>
    <cacheField name="20" numFmtId="0">
      <sharedItems containsBlank="1" count="4">
        <s v="Dropout"/>
        <s v="Pass"/>
        <s v="Fail"/>
        <m/>
      </sharedItems>
    </cacheField>
    <cacheField name="21" numFmtId="0">
      <sharedItems containsBlank="1" count="4">
        <s v="Dropout"/>
        <s v="Pass"/>
        <s v="Fail"/>
        <m/>
      </sharedItems>
    </cacheField>
    <cacheField name="22" numFmtId="0">
      <sharedItems containsBlank="1" count="4">
        <s v="Dropout"/>
        <s v="Pass"/>
        <s v="Fail"/>
        <m/>
      </sharedItems>
    </cacheField>
    <cacheField name="23" numFmtId="0">
      <sharedItems containsBlank="1" count="4">
        <s v="Dropout"/>
        <s v="Pass"/>
        <s v="Fail"/>
        <m/>
      </sharedItems>
    </cacheField>
    <cacheField name="24" numFmtId="0">
      <sharedItems containsBlank="1" count="4">
        <s v="Dropout"/>
        <s v="Pass"/>
        <s v="Fail"/>
        <m/>
      </sharedItems>
    </cacheField>
    <cacheField name="25" numFmtId="0">
      <sharedItems containsBlank="1" count="4">
        <s v="Dropout"/>
        <s v="Pass"/>
        <s v="Fail"/>
        <m/>
      </sharedItems>
    </cacheField>
    <cacheField name="26" numFmtId="0">
      <sharedItems containsBlank="1" count="4">
        <s v="Dropout"/>
        <s v="Pass"/>
        <s v="Fail"/>
        <m/>
      </sharedItems>
    </cacheField>
    <cacheField name="27" numFmtId="0">
      <sharedItems containsBlank="1" count="4">
        <s v="Dropout"/>
        <s v="Pass"/>
        <s v="Fail"/>
        <m/>
      </sharedItems>
    </cacheField>
    <cacheField name="28" numFmtId="0">
      <sharedItems containsBlank="1" count="4">
        <s v="Dropout"/>
        <s v="Pass"/>
        <s v="Fail"/>
        <m/>
      </sharedItems>
    </cacheField>
    <cacheField name="29" numFmtId="0">
      <sharedItems containsBlank="1" count="4">
        <s v="Dropout"/>
        <s v="Pass"/>
        <s v="Fai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0"/>
    <n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"/>
    <n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n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"/>
    <n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"/>
    <n v="13"/>
    <x v="0"/>
    <x v="0"/>
    <x v="0"/>
    <x v="0"/>
    <x v="0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0"/>
    <x v="0"/>
  </r>
  <r>
    <n v="5"/>
    <n v="25"/>
    <x v="2"/>
    <x v="0"/>
    <x v="0"/>
    <x v="0"/>
    <x v="0"/>
    <x v="0"/>
    <x v="0"/>
    <x v="0"/>
    <x v="0"/>
    <x v="2"/>
    <x v="2"/>
    <x v="2"/>
    <x v="2"/>
    <x v="2"/>
    <x v="2"/>
    <x v="1"/>
    <x v="1"/>
    <x v="0"/>
    <x v="0"/>
    <x v="0"/>
    <x v="0"/>
    <x v="0"/>
    <x v="0"/>
    <x v="0"/>
    <x v="0"/>
    <x v="0"/>
    <x v="0"/>
    <x v="0"/>
    <x v="0"/>
    <x v="0"/>
  </r>
  <r>
    <n v="6"/>
    <n v="4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"/>
    <n v="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"/>
    <n v="6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"/>
    <n v="7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"/>
    <n v="7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"/>
    <n v="85"/>
    <x v="2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"/>
    <n v="10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"/>
    <n v="11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"/>
    <n v="13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"/>
    <n v="154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0"/>
    <x v="0"/>
    <x v="0"/>
    <x v="1"/>
  </r>
  <r>
    <n v="16"/>
    <n v="16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"/>
    <n v="17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"/>
    <n v="20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"/>
    <n v="21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0"/>
    <n v="2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1"/>
    <n v="26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2"/>
    <n v="2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3"/>
    <n v="306"/>
    <x v="0"/>
    <x v="0"/>
    <x v="0"/>
    <x v="0"/>
    <x v="0"/>
    <x v="0"/>
    <x v="0"/>
    <x v="0"/>
    <x v="0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0"/>
  </r>
  <r>
    <n v="24"/>
    <n v="3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5"/>
    <n v="32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6"/>
    <n v="330"/>
    <x v="1"/>
    <x v="0"/>
    <x v="0"/>
    <x v="0"/>
    <x v="0"/>
    <x v="0"/>
    <x v="0"/>
    <x v="0"/>
    <x v="0"/>
    <x v="1"/>
    <x v="1"/>
    <x v="1"/>
    <x v="1"/>
    <x v="2"/>
    <x v="2"/>
    <x v="1"/>
    <x v="1"/>
    <x v="1"/>
    <x v="1"/>
    <x v="2"/>
    <x v="2"/>
    <x v="2"/>
    <x v="2"/>
    <x v="2"/>
    <x v="2"/>
    <x v="2"/>
    <x v="2"/>
    <x v="2"/>
    <x v="2"/>
    <x v="2"/>
  </r>
  <r>
    <n v="27"/>
    <n v="3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8"/>
    <n v="36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9"/>
    <n v="381"/>
    <x v="1"/>
    <x v="0"/>
    <x v="0"/>
    <x v="0"/>
    <x v="0"/>
    <x v="0"/>
    <x v="2"/>
    <x v="2"/>
    <x v="2"/>
    <x v="2"/>
    <x v="2"/>
    <x v="2"/>
    <x v="2"/>
    <x v="2"/>
    <x v="2"/>
    <x v="2"/>
    <x v="0"/>
    <x v="2"/>
    <x v="0"/>
    <x v="2"/>
    <x v="2"/>
    <x v="0"/>
    <x v="0"/>
    <x v="0"/>
    <x v="0"/>
    <x v="0"/>
    <x v="0"/>
    <x v="2"/>
    <x v="0"/>
    <x v="2"/>
  </r>
  <r>
    <n v="30"/>
    <n v="41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</r>
  <r>
    <n v="31"/>
    <n v="41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2"/>
    <n v="42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3"/>
    <n v="45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4"/>
    <n v="463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5"/>
    <n v="47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6"/>
    <n v="50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7"/>
    <n v="510"/>
    <x v="2"/>
    <x v="0"/>
    <x v="0"/>
    <x v="0"/>
    <x v="0"/>
    <x v="2"/>
    <x v="2"/>
    <x v="2"/>
    <x v="2"/>
    <x v="2"/>
    <x v="2"/>
    <x v="2"/>
    <x v="2"/>
    <x v="2"/>
    <x v="2"/>
    <x v="1"/>
    <x v="1"/>
    <x v="1"/>
    <x v="1"/>
    <x v="1"/>
    <x v="1"/>
    <x v="1"/>
    <x v="1"/>
    <x v="1"/>
    <x v="1"/>
    <x v="1"/>
    <x v="1"/>
    <x v="1"/>
    <x v="1"/>
    <x v="1"/>
  </r>
  <r>
    <n v="38"/>
    <n v="53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9"/>
    <n v="544"/>
    <x v="1"/>
    <x v="0"/>
    <x v="0"/>
    <x v="0"/>
    <x v="0"/>
    <x v="2"/>
    <x v="2"/>
    <x v="2"/>
    <x v="2"/>
    <x v="0"/>
    <x v="2"/>
    <x v="2"/>
    <x v="2"/>
    <x v="2"/>
    <x v="2"/>
    <x v="2"/>
    <x v="2"/>
    <x v="2"/>
    <x v="2"/>
    <x v="0"/>
    <x v="2"/>
    <x v="2"/>
    <x v="2"/>
    <x v="2"/>
    <x v="2"/>
    <x v="2"/>
    <x v="2"/>
    <x v="0"/>
    <x v="2"/>
    <x v="2"/>
  </r>
  <r>
    <n v="40"/>
    <n v="54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1"/>
    <n v="56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2"/>
    <n v="57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3"/>
    <n v="5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4"/>
    <n v="60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5"/>
    <n v="604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2"/>
    <x v="2"/>
    <x v="2"/>
    <x v="2"/>
    <x v="2"/>
    <x v="2"/>
    <x v="2"/>
    <x v="2"/>
    <x v="2"/>
  </r>
  <r>
    <n v="46"/>
    <n v="629"/>
    <x v="0"/>
    <x v="0"/>
    <x v="0"/>
    <x v="0"/>
    <x v="0"/>
    <x v="0"/>
    <x v="0"/>
    <x v="0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n v="47"/>
    <n v="6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8"/>
    <n v="649"/>
    <x v="1"/>
    <x v="0"/>
    <x v="0"/>
    <x v="0"/>
    <x v="0"/>
    <x v="0"/>
    <x v="0"/>
    <x v="0"/>
    <x v="2"/>
    <x v="0"/>
    <x v="2"/>
    <x v="0"/>
    <x v="0"/>
    <x v="2"/>
    <x v="0"/>
    <x v="0"/>
    <x v="2"/>
    <x v="0"/>
    <x v="2"/>
    <x v="0"/>
    <x v="2"/>
    <x v="2"/>
    <x v="2"/>
    <x v="0"/>
    <x v="2"/>
    <x v="2"/>
    <x v="0"/>
    <x v="0"/>
    <x v="0"/>
    <x v="2"/>
  </r>
  <r>
    <n v="49"/>
    <n v="65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0"/>
    <n v="67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1"/>
    <n v="69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2"/>
    <n v="70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3"/>
    <n v="7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4"/>
    <n v="7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5"/>
    <n v="72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6"/>
    <n v="7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0"/>
    <x v="0"/>
    <x v="0"/>
    <x v="0"/>
    <x v="0"/>
    <x v="0"/>
    <x v="0"/>
    <x v="0"/>
    <x v="0"/>
  </r>
  <r>
    <n v="57"/>
    <n v="76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8"/>
    <n v="78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9"/>
    <n v="7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0"/>
    <n v="793"/>
    <x v="0"/>
    <x v="0"/>
    <x v="0"/>
    <x v="0"/>
    <x v="0"/>
    <x v="0"/>
    <x v="0"/>
    <x v="0"/>
    <x v="0"/>
    <x v="1"/>
    <x v="1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0"/>
  </r>
  <r>
    <n v="61"/>
    <n v="8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2"/>
    <n v="827"/>
    <x v="1"/>
    <x v="0"/>
    <x v="0"/>
    <x v="0"/>
    <x v="0"/>
    <x v="0"/>
    <x v="2"/>
    <x v="2"/>
    <x v="2"/>
    <x v="2"/>
    <x v="0"/>
    <x v="0"/>
    <x v="2"/>
    <x v="2"/>
    <x v="0"/>
    <x v="2"/>
    <x v="0"/>
    <x v="2"/>
    <x v="0"/>
    <x v="2"/>
    <x v="2"/>
    <x v="0"/>
    <x v="0"/>
    <x v="0"/>
    <x v="0"/>
    <x v="0"/>
    <x v="0"/>
    <x v="2"/>
    <x v="0"/>
    <x v="2"/>
  </r>
  <r>
    <n v="63"/>
    <n v="85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4"/>
    <n v="8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5"/>
    <n v="88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6"/>
    <n v="89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7"/>
    <n v="9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8"/>
    <n v="90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9"/>
    <n v="940"/>
    <x v="1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</r>
  <r>
    <n v="70"/>
    <n v="94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1"/>
    <n v="96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2"/>
    <n v="98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3"/>
    <n v="99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4"/>
    <n v="9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5"/>
    <n v="99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6"/>
    <n v="10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7"/>
    <n v="104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8"/>
    <n v="105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9"/>
    <n v="105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0"/>
    <n v="106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1"/>
    <n v="107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2"/>
    <n v="109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3"/>
    <n v="110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4"/>
    <n v="112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5"/>
    <n v="112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6"/>
    <n v="11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7"/>
    <n v="117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8"/>
    <n v="118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9"/>
    <n v="119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</r>
  <r>
    <n v="90"/>
    <n v="12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1"/>
    <n v="1222"/>
    <x v="0"/>
    <x v="0"/>
    <x v="0"/>
    <x v="0"/>
    <x v="0"/>
    <x v="0"/>
    <x v="2"/>
    <x v="2"/>
    <x v="2"/>
    <x v="2"/>
    <x v="2"/>
    <x v="2"/>
    <x v="2"/>
    <x v="2"/>
    <x v="2"/>
    <x v="1"/>
    <x v="1"/>
    <x v="1"/>
    <x v="1"/>
    <x v="2"/>
    <x v="2"/>
    <x v="2"/>
    <x v="2"/>
    <x v="2"/>
    <x v="2"/>
    <x v="2"/>
    <x v="2"/>
    <x v="2"/>
    <x v="2"/>
    <x v="2"/>
  </r>
  <r>
    <n v="92"/>
    <n v="122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3"/>
    <n v="12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4"/>
    <n v="124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5"/>
    <n v="1268"/>
    <x v="0"/>
    <x v="0"/>
    <x v="0"/>
    <x v="0"/>
    <x v="0"/>
    <x v="0"/>
    <x v="2"/>
    <x v="2"/>
    <x v="1"/>
    <x v="1"/>
    <x v="1"/>
    <x v="1"/>
    <x v="1"/>
    <x v="1"/>
    <x v="1"/>
    <x v="1"/>
    <x v="1"/>
    <x v="1"/>
    <x v="1"/>
    <x v="1"/>
    <x v="1"/>
    <x v="0"/>
    <x v="0"/>
    <x v="0"/>
    <x v="1"/>
    <x v="0"/>
    <x v="0"/>
    <x v="2"/>
    <x v="0"/>
    <x v="2"/>
  </r>
  <r>
    <n v="96"/>
    <n v="127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7"/>
    <n v="130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8"/>
    <n v="1308"/>
    <x v="1"/>
    <x v="0"/>
    <x v="0"/>
    <x v="0"/>
    <x v="0"/>
    <x v="0"/>
    <x v="0"/>
    <x v="0"/>
    <x v="2"/>
    <x v="0"/>
    <x v="2"/>
    <x v="0"/>
    <x v="0"/>
    <x v="2"/>
    <x v="0"/>
    <x v="0"/>
    <x v="2"/>
    <x v="0"/>
    <x v="2"/>
    <x v="0"/>
    <x v="2"/>
    <x v="2"/>
    <x v="2"/>
    <x v="0"/>
    <x v="2"/>
    <x v="2"/>
    <x v="0"/>
    <x v="0"/>
    <x v="0"/>
    <x v="2"/>
  </r>
  <r>
    <n v="99"/>
    <n v="13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0"/>
    <n v="134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1"/>
    <n v="135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2"/>
    <n v="136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3"/>
    <n v="138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4"/>
    <n v="1393"/>
    <x v="1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2"/>
    <x v="2"/>
    <x v="2"/>
    <x v="2"/>
    <x v="2"/>
    <x v="2"/>
    <x v="2"/>
    <x v="2"/>
    <x v="2"/>
  </r>
  <r>
    <n v="105"/>
    <n v="1407"/>
    <x v="0"/>
    <x v="0"/>
    <x v="0"/>
    <x v="0"/>
    <x v="0"/>
    <x v="0"/>
    <x v="0"/>
    <x v="0"/>
    <x v="0"/>
    <x v="1"/>
    <x v="0"/>
    <x v="1"/>
    <x v="0"/>
    <x v="0"/>
    <x v="0"/>
    <x v="2"/>
    <x v="2"/>
    <x v="2"/>
    <x v="2"/>
    <x v="2"/>
    <x v="2"/>
    <x v="0"/>
    <x v="0"/>
    <x v="0"/>
    <x v="0"/>
    <x v="0"/>
    <x v="0"/>
    <x v="0"/>
    <x v="0"/>
    <x v="0"/>
  </r>
  <r>
    <n v="106"/>
    <n v="142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7"/>
    <n v="143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8"/>
    <n v="144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9"/>
    <n v="145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0"/>
    <n v="1469"/>
    <x v="1"/>
    <x v="0"/>
    <x v="0"/>
    <x v="0"/>
    <x v="0"/>
    <x v="0"/>
    <x v="0"/>
    <x v="0"/>
    <x v="2"/>
    <x v="0"/>
    <x v="2"/>
    <x v="0"/>
    <x v="0"/>
    <x v="2"/>
    <x v="0"/>
    <x v="0"/>
    <x v="2"/>
    <x v="0"/>
    <x v="2"/>
    <x v="0"/>
    <x v="2"/>
    <x v="2"/>
    <x v="2"/>
    <x v="0"/>
    <x v="2"/>
    <x v="2"/>
    <x v="0"/>
    <x v="0"/>
    <x v="0"/>
    <x v="2"/>
  </r>
  <r>
    <n v="111"/>
    <n v="147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2"/>
    <n v="148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3"/>
    <n v="148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2"/>
    <x v="2"/>
    <x v="2"/>
  </r>
  <r>
    <n v="114"/>
    <n v="149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5"/>
    <n v="151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6"/>
    <n v="1520"/>
    <x v="1"/>
    <x v="0"/>
    <x v="0"/>
    <x v="0"/>
    <x v="0"/>
    <x v="0"/>
    <x v="2"/>
    <x v="2"/>
    <x v="2"/>
    <x v="2"/>
    <x v="0"/>
    <x v="0"/>
    <x v="2"/>
    <x v="2"/>
    <x v="0"/>
    <x v="2"/>
    <x v="0"/>
    <x v="2"/>
    <x v="0"/>
    <x v="2"/>
    <x v="2"/>
    <x v="0"/>
    <x v="0"/>
    <x v="0"/>
    <x v="0"/>
    <x v="0"/>
    <x v="0"/>
    <x v="2"/>
    <x v="0"/>
    <x v="2"/>
  </r>
  <r>
    <n v="117"/>
    <n v="154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8"/>
    <n v="155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9"/>
    <n v="155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0"/>
    <n v="158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1"/>
    <n v="159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2"/>
    <n v="1600"/>
    <x v="0"/>
    <x v="0"/>
    <x v="0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2"/>
    <x v="0"/>
    <x v="0"/>
    <x v="0"/>
    <x v="0"/>
    <x v="0"/>
    <x v="0"/>
    <x v="0"/>
    <x v="0"/>
  </r>
  <r>
    <n v="123"/>
    <n v="16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4"/>
    <n v="161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5"/>
    <n v="1662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6"/>
    <n v="166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7"/>
    <n v="166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8"/>
    <n v="167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9"/>
    <n v="169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0"/>
    <n v="16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1"/>
    <n v="17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2"/>
    <n v="173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3"/>
    <n v="173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4"/>
    <n v="174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5"/>
    <n v="174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6"/>
    <n v="176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7"/>
    <n v="177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8"/>
    <n v="177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9"/>
    <n v="17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0"/>
    <n v="179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1"/>
    <n v="180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2"/>
    <n v="180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3"/>
    <n v="182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4"/>
    <n v="182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5"/>
    <n v="184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6"/>
    <n v="184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7"/>
    <n v="186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8"/>
    <n v="187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9"/>
    <n v="189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0"/>
    <n v="189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1"/>
    <n v="19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2"/>
    <n v="1918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3"/>
    <n v="1934"/>
    <x v="1"/>
    <x v="0"/>
    <x v="0"/>
    <x v="0"/>
    <x v="0"/>
    <x v="0"/>
    <x v="2"/>
    <x v="2"/>
    <x v="2"/>
    <x v="2"/>
    <x v="0"/>
    <x v="0"/>
    <x v="2"/>
    <x v="2"/>
    <x v="0"/>
    <x v="2"/>
    <x v="0"/>
    <x v="2"/>
    <x v="0"/>
    <x v="2"/>
    <x v="2"/>
    <x v="0"/>
    <x v="0"/>
    <x v="0"/>
    <x v="0"/>
    <x v="0"/>
    <x v="0"/>
    <x v="2"/>
    <x v="0"/>
    <x v="2"/>
  </r>
  <r>
    <n v="154"/>
    <n v="193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5"/>
    <n v="1940"/>
    <x v="0"/>
    <x v="0"/>
    <x v="0"/>
    <x v="0"/>
    <x v="0"/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6"/>
    <n v="1960"/>
    <x v="1"/>
    <x v="0"/>
    <x v="0"/>
    <x v="0"/>
    <x v="0"/>
    <x v="2"/>
    <x v="2"/>
    <x v="2"/>
    <x v="2"/>
    <x v="0"/>
    <x v="0"/>
    <x v="2"/>
    <x v="2"/>
    <x v="2"/>
    <x v="2"/>
    <x v="2"/>
    <x v="2"/>
    <x v="2"/>
    <x v="2"/>
    <x v="0"/>
    <x v="2"/>
    <x v="0"/>
    <x v="2"/>
    <x v="0"/>
    <x v="2"/>
    <x v="2"/>
    <x v="0"/>
    <x v="0"/>
    <x v="2"/>
    <x v="2"/>
  </r>
  <r>
    <n v="157"/>
    <n v="196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8"/>
    <n v="197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9"/>
    <n v="1983"/>
    <x v="2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1"/>
    <x v="1"/>
    <x v="1"/>
    <x v="2"/>
    <x v="2"/>
    <x v="2"/>
  </r>
  <r>
    <n v="160"/>
    <n v="200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1"/>
    <n v="2016"/>
    <x v="0"/>
    <x v="0"/>
    <x v="0"/>
    <x v="0"/>
    <x v="0"/>
    <x v="0"/>
    <x v="0"/>
    <x v="0"/>
    <x v="0"/>
    <x v="1"/>
    <x v="1"/>
    <x v="1"/>
    <x v="1"/>
    <x v="2"/>
    <x v="2"/>
    <x v="0"/>
    <x v="0"/>
    <x v="0"/>
    <x v="0"/>
    <x v="0"/>
    <x v="0"/>
    <x v="0"/>
    <x v="0"/>
    <x v="0"/>
    <x v="0"/>
    <x v="0"/>
    <x v="0"/>
    <x v="0"/>
    <x v="0"/>
    <x v="0"/>
  </r>
  <r>
    <n v="162"/>
    <n v="20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3"/>
    <n v="202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4"/>
    <n v="203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5"/>
    <n v="204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6"/>
    <n v="20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7"/>
    <n v="205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8"/>
    <n v="206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9"/>
    <n v="207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0"/>
    <n v="209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1"/>
    <n v="21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2"/>
    <n v="210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3"/>
    <n v="211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4"/>
    <n v="21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5"/>
    <n v="214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6"/>
    <n v="21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7"/>
    <n v="214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8"/>
    <n v="216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9"/>
    <n v="217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0"/>
    <n v="217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1"/>
    <n v="218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2"/>
    <n v="21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3"/>
    <n v="22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4"/>
    <n v="2215"/>
    <x v="0"/>
    <x v="0"/>
    <x v="0"/>
    <x v="0"/>
    <x v="0"/>
    <x v="0"/>
    <x v="0"/>
    <x v="0"/>
    <x v="2"/>
    <x v="0"/>
    <x v="2"/>
    <x v="0"/>
    <x v="0"/>
    <x v="2"/>
    <x v="0"/>
    <x v="0"/>
    <x v="2"/>
    <x v="0"/>
    <x v="2"/>
    <x v="0"/>
    <x v="2"/>
    <x v="2"/>
    <x v="2"/>
    <x v="0"/>
    <x v="2"/>
    <x v="2"/>
    <x v="0"/>
    <x v="0"/>
    <x v="0"/>
    <x v="2"/>
  </r>
  <r>
    <n v="185"/>
    <n v="222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6"/>
    <n v="223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7"/>
    <n v="224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8"/>
    <n v="2266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0"/>
    <x v="0"/>
    <x v="0"/>
    <x v="0"/>
    <x v="0"/>
    <x v="0"/>
    <x v="0"/>
    <x v="0"/>
    <x v="0"/>
    <x v="0"/>
    <x v="0"/>
  </r>
  <r>
    <n v="189"/>
    <n v="227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0"/>
    <n v="229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1"/>
    <n v="230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</r>
  <r>
    <n v="192"/>
    <n v="230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3"/>
    <n v="232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4"/>
    <n v="234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5"/>
    <n v="234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6"/>
    <n v="235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7"/>
    <n v="2354"/>
    <x v="1"/>
    <x v="0"/>
    <x v="0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</r>
  <r>
    <n v="198"/>
    <n v="236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</r>
  <r>
    <n v="199"/>
    <n v="236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m/>
    <x v="3"/>
    <x v="2"/>
    <x v="2"/>
    <x v="2"/>
    <x v="2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62ECC-004A-4EFF-91AD-0A724B42628E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F9" firstHeaderRow="1" firstDataRow="2" firstDataCol="1"/>
  <pivotFields count="32"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Col" dataField="1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1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29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EC2F-B935-41EE-A291-535D7F869545}">
  <dimension ref="A3:F9"/>
  <sheetViews>
    <sheetView workbookViewId="0">
      <selection activeCell="B5" sqref="B5:D7"/>
    </sheetView>
  </sheetViews>
  <sheetFormatPr baseColWidth="10" defaultRowHeight="15" x14ac:dyDescent="0.25"/>
  <cols>
    <col min="1" max="1" width="15.140625" bestFit="1" customWidth="1"/>
    <col min="2" max="5" width="8.28515625" bestFit="1" customWidth="1"/>
    <col min="6" max="6" width="12.5703125" bestFit="1" customWidth="1"/>
  </cols>
  <sheetData>
    <row r="3" spans="1:6" x14ac:dyDescent="0.25">
      <c r="A3" s="1" t="s">
        <v>19</v>
      </c>
      <c r="B3" s="1" t="s">
        <v>18</v>
      </c>
    </row>
    <row r="4" spans="1:6" x14ac:dyDescent="0.25">
      <c r="A4" s="1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3</v>
      </c>
      <c r="B5" s="2">
        <v>59</v>
      </c>
      <c r="C5" s="2">
        <v>12</v>
      </c>
      <c r="D5" s="2">
        <v>1</v>
      </c>
      <c r="E5" s="2"/>
      <c r="F5" s="2">
        <v>72</v>
      </c>
    </row>
    <row r="6" spans="1:6" x14ac:dyDescent="0.25">
      <c r="A6" t="s">
        <v>4</v>
      </c>
      <c r="B6" s="2">
        <v>17</v>
      </c>
      <c r="C6" s="2">
        <v>5</v>
      </c>
      <c r="D6" s="2">
        <v>12</v>
      </c>
      <c r="E6" s="2"/>
      <c r="F6" s="2">
        <v>34</v>
      </c>
    </row>
    <row r="7" spans="1:6" x14ac:dyDescent="0.25">
      <c r="A7" t="s">
        <v>5</v>
      </c>
      <c r="B7" s="2">
        <v>1</v>
      </c>
      <c r="C7" s="2">
        <v>1</v>
      </c>
      <c r="D7" s="2">
        <v>92</v>
      </c>
      <c r="E7" s="2"/>
      <c r="F7" s="2">
        <v>94</v>
      </c>
    </row>
    <row r="8" spans="1:6" x14ac:dyDescent="0.25">
      <c r="A8" t="s">
        <v>6</v>
      </c>
      <c r="B8" s="2"/>
      <c r="C8" s="2"/>
      <c r="D8" s="2"/>
      <c r="E8" s="2"/>
      <c r="F8" s="2"/>
    </row>
    <row r="9" spans="1:6" x14ac:dyDescent="0.25">
      <c r="A9" t="s">
        <v>7</v>
      </c>
      <c r="B9" s="2">
        <v>77</v>
      </c>
      <c r="C9" s="2">
        <v>18</v>
      </c>
      <c r="D9" s="2">
        <v>105</v>
      </c>
      <c r="E9" s="2"/>
      <c r="F9" s="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0D16-BE4A-4B89-B05C-80BD6A75AD57}">
  <dimension ref="A2:AD52"/>
  <sheetViews>
    <sheetView zoomScale="70" zoomScaleNormal="70" workbookViewId="0">
      <selection activeCell="B48" sqref="B48:AD51"/>
    </sheetView>
  </sheetViews>
  <sheetFormatPr baseColWidth="10" defaultRowHeight="15" x14ac:dyDescent="0.25"/>
  <cols>
    <col min="1" max="1" width="17.85546875" customWidth="1"/>
    <col min="2" max="2" width="12.85546875" bestFit="1" customWidth="1"/>
    <col min="6" max="6" width="15.42578125" style="4" customWidth="1"/>
    <col min="8" max="8" width="5.5703125" customWidth="1"/>
    <col min="13" max="13" width="15.5703125" customWidth="1"/>
    <col min="15" max="15" width="7" customWidth="1"/>
    <col min="20" max="20" width="16.5703125" customWidth="1"/>
    <col min="22" max="22" width="7" customWidth="1"/>
    <col min="27" max="27" width="15.42578125" customWidth="1"/>
  </cols>
  <sheetData>
    <row r="2" spans="1:28" x14ac:dyDescent="0.25">
      <c r="A2">
        <v>29</v>
      </c>
      <c r="B2" s="3" t="s">
        <v>2</v>
      </c>
      <c r="C2" s="3" t="s">
        <v>3</v>
      </c>
      <c r="D2" s="3" t="s">
        <v>4</v>
      </c>
      <c r="E2" s="3" t="s">
        <v>5</v>
      </c>
      <c r="F2" s="5" t="s">
        <v>8</v>
      </c>
      <c r="G2">
        <f>E5</f>
        <v>92</v>
      </c>
      <c r="H2">
        <v>9</v>
      </c>
      <c r="I2" s="3" t="s">
        <v>2</v>
      </c>
      <c r="J2" s="3" t="s">
        <v>3</v>
      </c>
      <c r="K2" s="3" t="s">
        <v>4</v>
      </c>
      <c r="L2" s="3" t="s">
        <v>5</v>
      </c>
      <c r="M2" s="5" t="s">
        <v>8</v>
      </c>
      <c r="N2">
        <f>L5</f>
        <v>91</v>
      </c>
      <c r="O2">
        <v>18</v>
      </c>
      <c r="P2" s="3" t="s">
        <v>2</v>
      </c>
      <c r="Q2" s="3" t="s">
        <v>3</v>
      </c>
      <c r="R2" s="3" t="s">
        <v>4</v>
      </c>
      <c r="S2" s="3" t="s">
        <v>5</v>
      </c>
      <c r="T2" s="5" t="s">
        <v>8</v>
      </c>
      <c r="U2">
        <f>S5</f>
        <v>92</v>
      </c>
      <c r="V2">
        <v>27</v>
      </c>
      <c r="W2" s="3" t="s">
        <v>2</v>
      </c>
      <c r="X2" s="3" t="s">
        <v>3</v>
      </c>
      <c r="Y2" s="3" t="s">
        <v>4</v>
      </c>
      <c r="Z2" s="3" t="s">
        <v>5</v>
      </c>
      <c r="AA2" s="5" t="s">
        <v>8</v>
      </c>
      <c r="AB2">
        <f>Z5</f>
        <v>92</v>
      </c>
    </row>
    <row r="3" spans="1:28" x14ac:dyDescent="0.25">
      <c r="B3" s="3" t="s">
        <v>3</v>
      </c>
      <c r="C3" s="3">
        <v>59</v>
      </c>
      <c r="D3" s="3">
        <v>12</v>
      </c>
      <c r="E3" s="3">
        <v>1</v>
      </c>
      <c r="F3" s="6" t="s">
        <v>9</v>
      </c>
      <c r="G3">
        <f>D5+C5</f>
        <v>2</v>
      </c>
      <c r="I3" s="3" t="s">
        <v>3</v>
      </c>
      <c r="J3" s="3">
        <v>60</v>
      </c>
      <c r="K3" s="3">
        <v>5</v>
      </c>
      <c r="L3" s="3">
        <v>7</v>
      </c>
      <c r="M3" s="6" t="s">
        <v>9</v>
      </c>
      <c r="N3">
        <f>K5+J5</f>
        <v>3</v>
      </c>
      <c r="P3" s="3" t="s">
        <v>3</v>
      </c>
      <c r="Q3" s="3">
        <v>63</v>
      </c>
      <c r="R3" s="3">
        <v>5</v>
      </c>
      <c r="S3" s="3">
        <v>4</v>
      </c>
      <c r="T3" s="6" t="s">
        <v>9</v>
      </c>
      <c r="U3">
        <f>R5+Q5</f>
        <v>2</v>
      </c>
      <c r="W3" s="3" t="s">
        <v>3</v>
      </c>
      <c r="X3" s="3">
        <v>64</v>
      </c>
      <c r="Y3" s="3">
        <v>7</v>
      </c>
      <c r="Z3" s="3">
        <v>1</v>
      </c>
      <c r="AA3" s="6" t="s">
        <v>9</v>
      </c>
      <c r="AB3">
        <f>Y5+X5</f>
        <v>2</v>
      </c>
    </row>
    <row r="4" spans="1:28" x14ac:dyDescent="0.25">
      <c r="B4" s="3" t="s">
        <v>4</v>
      </c>
      <c r="C4" s="3">
        <v>17</v>
      </c>
      <c r="D4" s="3">
        <v>5</v>
      </c>
      <c r="E4" s="3">
        <v>12</v>
      </c>
      <c r="F4" s="6" t="s">
        <v>10</v>
      </c>
      <c r="G4">
        <f>E4+E3</f>
        <v>13</v>
      </c>
      <c r="I4" s="3" t="s">
        <v>4</v>
      </c>
      <c r="J4" s="3">
        <v>13</v>
      </c>
      <c r="K4" s="3">
        <v>4</v>
      </c>
      <c r="L4" s="3">
        <v>17</v>
      </c>
      <c r="M4" s="6" t="s">
        <v>10</v>
      </c>
      <c r="N4">
        <f>L4+L3</f>
        <v>24</v>
      </c>
      <c r="P4" s="3" t="s">
        <v>4</v>
      </c>
      <c r="Q4" s="3">
        <v>14</v>
      </c>
      <c r="R4" s="3">
        <v>5</v>
      </c>
      <c r="S4" s="3">
        <v>15</v>
      </c>
      <c r="T4" s="6" t="s">
        <v>10</v>
      </c>
      <c r="U4">
        <f>S4+S3</f>
        <v>19</v>
      </c>
      <c r="W4" s="3" t="s">
        <v>4</v>
      </c>
      <c r="X4" s="3">
        <v>18</v>
      </c>
      <c r="Y4" s="3">
        <v>5</v>
      </c>
      <c r="Z4" s="3">
        <v>11</v>
      </c>
      <c r="AA4" s="6" t="s">
        <v>10</v>
      </c>
      <c r="AB4">
        <f>Z4+Z3</f>
        <v>12</v>
      </c>
    </row>
    <row r="5" spans="1:28" x14ac:dyDescent="0.25">
      <c r="B5" s="3" t="s">
        <v>5</v>
      </c>
      <c r="C5" s="3">
        <v>1</v>
      </c>
      <c r="D5" s="3">
        <v>1</v>
      </c>
      <c r="E5" s="3">
        <v>92</v>
      </c>
      <c r="F5" s="6" t="s">
        <v>11</v>
      </c>
      <c r="G5">
        <f>C3+C4+D3+D4</f>
        <v>93</v>
      </c>
      <c r="I5" s="3" t="s">
        <v>5</v>
      </c>
      <c r="J5" s="3">
        <v>1</v>
      </c>
      <c r="K5" s="3">
        <v>2</v>
      </c>
      <c r="L5" s="3">
        <v>91</v>
      </c>
      <c r="M5" s="6" t="s">
        <v>11</v>
      </c>
      <c r="N5">
        <f>J3+J4+K3+K4</f>
        <v>82</v>
      </c>
      <c r="P5" s="3" t="s">
        <v>5</v>
      </c>
      <c r="Q5" s="3">
        <v>2</v>
      </c>
      <c r="R5" s="3"/>
      <c r="S5" s="3">
        <v>92</v>
      </c>
      <c r="T5" s="6" t="s">
        <v>11</v>
      </c>
      <c r="U5">
        <f>Q3+Q4+R3+R4</f>
        <v>87</v>
      </c>
      <c r="W5" s="3" t="s">
        <v>5</v>
      </c>
      <c r="X5" s="3">
        <v>1</v>
      </c>
      <c r="Y5" s="3">
        <v>1</v>
      </c>
      <c r="Z5" s="3">
        <v>92</v>
      </c>
      <c r="AA5" s="6" t="s">
        <v>11</v>
      </c>
      <c r="AB5">
        <f>X3+X4+Y3+Y4</f>
        <v>94</v>
      </c>
    </row>
    <row r="7" spans="1:28" x14ac:dyDescent="0.25">
      <c r="A7">
        <v>1</v>
      </c>
      <c r="B7" s="3" t="s">
        <v>2</v>
      </c>
      <c r="C7" s="3" t="s">
        <v>3</v>
      </c>
      <c r="D7" s="3" t="s">
        <v>4</v>
      </c>
      <c r="E7" s="3" t="s">
        <v>5</v>
      </c>
      <c r="F7" s="5" t="s">
        <v>8</v>
      </c>
      <c r="G7">
        <f>E10</f>
        <v>90</v>
      </c>
      <c r="H7">
        <v>10</v>
      </c>
      <c r="I7" s="3" t="s">
        <v>2</v>
      </c>
      <c r="J7" s="3" t="s">
        <v>3</v>
      </c>
      <c r="K7" s="3" t="s">
        <v>4</v>
      </c>
      <c r="L7" s="3" t="s">
        <v>5</v>
      </c>
      <c r="M7" s="5" t="s">
        <v>8</v>
      </c>
      <c r="N7">
        <f>L10</f>
        <v>91</v>
      </c>
      <c r="O7">
        <v>19</v>
      </c>
      <c r="P7" s="3" t="s">
        <v>2</v>
      </c>
      <c r="Q7" s="3" t="s">
        <v>3</v>
      </c>
      <c r="R7" s="3" t="s">
        <v>4</v>
      </c>
      <c r="S7" s="3" t="s">
        <v>5</v>
      </c>
      <c r="T7" s="5" t="s">
        <v>8</v>
      </c>
      <c r="U7">
        <f>S10</f>
        <v>91</v>
      </c>
      <c r="V7">
        <v>28</v>
      </c>
      <c r="W7" s="3" t="s">
        <v>2</v>
      </c>
      <c r="X7" s="3" t="s">
        <v>3</v>
      </c>
      <c r="Y7" s="3" t="s">
        <v>4</v>
      </c>
      <c r="Z7" s="3" t="s">
        <v>5</v>
      </c>
      <c r="AA7" s="5" t="s">
        <v>8</v>
      </c>
      <c r="AB7">
        <f>Z10</f>
        <v>92</v>
      </c>
    </row>
    <row r="8" spans="1:28" x14ac:dyDescent="0.25">
      <c r="B8" s="3" t="s">
        <v>3</v>
      </c>
      <c r="C8" s="3">
        <v>68</v>
      </c>
      <c r="D8" s="3"/>
      <c r="E8" s="3">
        <v>4</v>
      </c>
      <c r="F8" s="6" t="s">
        <v>9</v>
      </c>
      <c r="G8">
        <f>D10+C10</f>
        <v>4</v>
      </c>
      <c r="I8" s="3" t="s">
        <v>3</v>
      </c>
      <c r="J8" s="3">
        <v>59</v>
      </c>
      <c r="K8" s="3">
        <v>6</v>
      </c>
      <c r="L8" s="3">
        <v>7</v>
      </c>
      <c r="M8" s="6" t="s">
        <v>9</v>
      </c>
      <c r="N8">
        <f>K10+J10</f>
        <v>3</v>
      </c>
      <c r="P8" s="3" t="s">
        <v>3</v>
      </c>
      <c r="Q8" s="3">
        <v>66</v>
      </c>
      <c r="R8" s="3">
        <v>5</v>
      </c>
      <c r="S8" s="3">
        <v>1</v>
      </c>
      <c r="T8" s="6" t="s">
        <v>9</v>
      </c>
      <c r="U8">
        <f>R10+Q10</f>
        <v>3</v>
      </c>
      <c r="W8" s="3" t="s">
        <v>3</v>
      </c>
      <c r="X8" s="3">
        <v>66</v>
      </c>
      <c r="Y8" s="3">
        <v>5</v>
      </c>
      <c r="Z8" s="3">
        <v>1</v>
      </c>
      <c r="AA8" s="6" t="s">
        <v>9</v>
      </c>
      <c r="AB8">
        <f>Y10+X10</f>
        <v>2</v>
      </c>
    </row>
    <row r="9" spans="1:28" x14ac:dyDescent="0.25">
      <c r="B9" s="3" t="s">
        <v>4</v>
      </c>
      <c r="C9" s="3">
        <v>22</v>
      </c>
      <c r="D9" s="3"/>
      <c r="E9" s="3">
        <v>12</v>
      </c>
      <c r="F9" s="6" t="s">
        <v>10</v>
      </c>
      <c r="G9">
        <f>E9+E8</f>
        <v>16</v>
      </c>
      <c r="I9" s="3" t="s">
        <v>4</v>
      </c>
      <c r="J9" s="3">
        <v>13</v>
      </c>
      <c r="K9" s="3">
        <v>5</v>
      </c>
      <c r="L9" s="3">
        <v>16</v>
      </c>
      <c r="M9" s="6" t="s">
        <v>10</v>
      </c>
      <c r="N9">
        <f>L9+L8</f>
        <v>23</v>
      </c>
      <c r="P9" s="3" t="s">
        <v>4</v>
      </c>
      <c r="Q9" s="3">
        <v>15</v>
      </c>
      <c r="R9" s="3">
        <v>5</v>
      </c>
      <c r="S9" s="3">
        <v>14</v>
      </c>
      <c r="T9" s="6" t="s">
        <v>10</v>
      </c>
      <c r="U9">
        <f>S9+S8</f>
        <v>15</v>
      </c>
      <c r="W9" s="3" t="s">
        <v>4</v>
      </c>
      <c r="X9" s="3">
        <v>20</v>
      </c>
      <c r="Y9" s="3">
        <v>3</v>
      </c>
      <c r="Z9" s="3">
        <v>11</v>
      </c>
      <c r="AA9" s="6" t="s">
        <v>10</v>
      </c>
      <c r="AB9">
        <f>Z9+Z8</f>
        <v>12</v>
      </c>
    </row>
    <row r="10" spans="1:28" x14ac:dyDescent="0.25">
      <c r="B10" s="3" t="s">
        <v>5</v>
      </c>
      <c r="C10" s="3">
        <v>4</v>
      </c>
      <c r="D10" s="3"/>
      <c r="E10" s="3">
        <v>90</v>
      </c>
      <c r="F10" s="6" t="s">
        <v>11</v>
      </c>
      <c r="G10">
        <f>C8+C9+D8+D9</f>
        <v>90</v>
      </c>
      <c r="I10" s="3" t="s">
        <v>5</v>
      </c>
      <c r="J10" s="3">
        <v>1</v>
      </c>
      <c r="K10" s="3">
        <v>2</v>
      </c>
      <c r="L10" s="3">
        <v>91</v>
      </c>
      <c r="M10" s="6" t="s">
        <v>11</v>
      </c>
      <c r="N10">
        <f>J8+J9+K8+K9</f>
        <v>83</v>
      </c>
      <c r="P10" s="3" t="s">
        <v>5</v>
      </c>
      <c r="Q10" s="3">
        <v>3</v>
      </c>
      <c r="R10" s="3"/>
      <c r="S10" s="3">
        <v>91</v>
      </c>
      <c r="T10" s="6" t="s">
        <v>11</v>
      </c>
      <c r="U10">
        <f>Q8+Q9+R8+R9</f>
        <v>91</v>
      </c>
      <c r="W10" s="3" t="s">
        <v>5</v>
      </c>
      <c r="X10" s="3">
        <v>1</v>
      </c>
      <c r="Y10" s="3">
        <v>1</v>
      </c>
      <c r="Z10" s="3">
        <v>92</v>
      </c>
      <c r="AA10" s="6" t="s">
        <v>11</v>
      </c>
      <c r="AB10">
        <f>X8+X9+Y8+Y9</f>
        <v>94</v>
      </c>
    </row>
    <row r="12" spans="1:28" x14ac:dyDescent="0.25">
      <c r="A12">
        <v>2</v>
      </c>
      <c r="B12" s="3" t="s">
        <v>2</v>
      </c>
      <c r="C12" s="3" t="s">
        <v>3</v>
      </c>
      <c r="D12" s="3" t="s">
        <v>4</v>
      </c>
      <c r="E12" s="3" t="s">
        <v>5</v>
      </c>
      <c r="F12" s="5" t="s">
        <v>8</v>
      </c>
      <c r="G12">
        <f>E15</f>
        <v>90</v>
      </c>
      <c r="H12">
        <v>11</v>
      </c>
      <c r="I12" s="3" t="s">
        <v>2</v>
      </c>
      <c r="J12" s="3" t="s">
        <v>3</v>
      </c>
      <c r="K12" s="3" t="s">
        <v>4</v>
      </c>
      <c r="L12" s="3" t="s">
        <v>5</v>
      </c>
      <c r="M12" s="5" t="s">
        <v>8</v>
      </c>
      <c r="N12">
        <f>L15</f>
        <v>91</v>
      </c>
      <c r="O12">
        <v>20</v>
      </c>
      <c r="P12" s="3" t="s">
        <v>2</v>
      </c>
      <c r="Q12" s="3" t="s">
        <v>3</v>
      </c>
      <c r="R12" s="3" t="s">
        <v>4</v>
      </c>
      <c r="S12" s="3" t="s">
        <v>5</v>
      </c>
      <c r="T12" s="5" t="s">
        <v>8</v>
      </c>
      <c r="U12">
        <f>S15</f>
        <v>92</v>
      </c>
    </row>
    <row r="13" spans="1:28" x14ac:dyDescent="0.25">
      <c r="B13" s="3" t="s">
        <v>3</v>
      </c>
      <c r="C13" s="3">
        <v>68</v>
      </c>
      <c r="D13" s="3"/>
      <c r="E13" s="3">
        <v>4</v>
      </c>
      <c r="F13" s="6" t="s">
        <v>9</v>
      </c>
      <c r="G13">
        <f>D15+C15</f>
        <v>4</v>
      </c>
      <c r="I13" s="3" t="s">
        <v>3</v>
      </c>
      <c r="J13" s="3">
        <v>61</v>
      </c>
      <c r="K13" s="3">
        <v>4</v>
      </c>
      <c r="L13" s="3">
        <v>7</v>
      </c>
      <c r="M13" s="6" t="s">
        <v>9</v>
      </c>
      <c r="N13">
        <f>K15+J15</f>
        <v>3</v>
      </c>
      <c r="P13" s="3" t="s">
        <v>3</v>
      </c>
      <c r="Q13" s="3">
        <v>61</v>
      </c>
      <c r="R13" s="3">
        <v>10</v>
      </c>
      <c r="S13" s="3">
        <v>1</v>
      </c>
      <c r="T13" s="6" t="s">
        <v>9</v>
      </c>
      <c r="U13">
        <f>R15+Q15</f>
        <v>2</v>
      </c>
    </row>
    <row r="14" spans="1:28" x14ac:dyDescent="0.25">
      <c r="B14" s="3" t="s">
        <v>4</v>
      </c>
      <c r="C14" s="3">
        <v>22</v>
      </c>
      <c r="D14" s="3"/>
      <c r="E14" s="3">
        <v>12</v>
      </c>
      <c r="F14" s="6" t="s">
        <v>10</v>
      </c>
      <c r="G14">
        <f>E14+E13</f>
        <v>16</v>
      </c>
      <c r="I14" s="3" t="s">
        <v>4</v>
      </c>
      <c r="J14" s="3">
        <v>13</v>
      </c>
      <c r="K14" s="3">
        <v>4</v>
      </c>
      <c r="L14" s="3">
        <v>17</v>
      </c>
      <c r="M14" s="6" t="s">
        <v>10</v>
      </c>
      <c r="N14">
        <f>L14+L13</f>
        <v>24</v>
      </c>
      <c r="P14" s="3" t="s">
        <v>4</v>
      </c>
      <c r="Q14" s="3">
        <v>15</v>
      </c>
      <c r="R14" s="3">
        <v>6</v>
      </c>
      <c r="S14" s="3">
        <v>13</v>
      </c>
      <c r="T14" s="6" t="s">
        <v>10</v>
      </c>
      <c r="U14">
        <f>S14+S13</f>
        <v>14</v>
      </c>
    </row>
    <row r="15" spans="1:28" x14ac:dyDescent="0.25">
      <c r="B15" s="3" t="s">
        <v>5</v>
      </c>
      <c r="C15" s="3">
        <v>4</v>
      </c>
      <c r="D15" s="3"/>
      <c r="E15" s="3">
        <v>90</v>
      </c>
      <c r="F15" s="6" t="s">
        <v>11</v>
      </c>
      <c r="G15">
        <f>C13+C14+D13+D14</f>
        <v>90</v>
      </c>
      <c r="I15" s="3" t="s">
        <v>5</v>
      </c>
      <c r="J15" s="3">
        <v>1</v>
      </c>
      <c r="K15" s="3">
        <v>2</v>
      </c>
      <c r="L15" s="3">
        <v>91</v>
      </c>
      <c r="M15" s="6" t="s">
        <v>11</v>
      </c>
      <c r="N15">
        <f>J13+J14+K13+K14</f>
        <v>82</v>
      </c>
      <c r="P15" s="3" t="s">
        <v>5</v>
      </c>
      <c r="Q15" s="3">
        <v>2</v>
      </c>
      <c r="R15" s="3"/>
      <c r="S15" s="3">
        <v>92</v>
      </c>
      <c r="T15" s="6" t="s">
        <v>11</v>
      </c>
      <c r="U15">
        <f>Q13+Q14+R13+R14</f>
        <v>92</v>
      </c>
    </row>
    <row r="17" spans="1:21" x14ac:dyDescent="0.25">
      <c r="A17">
        <v>3</v>
      </c>
      <c r="B17" s="3" t="s">
        <v>2</v>
      </c>
      <c r="C17" s="3" t="s">
        <v>3</v>
      </c>
      <c r="D17" s="3" t="s">
        <v>4</v>
      </c>
      <c r="E17" s="3" t="s">
        <v>5</v>
      </c>
      <c r="F17" s="5" t="s">
        <v>8</v>
      </c>
      <c r="G17">
        <f>E20</f>
        <v>90</v>
      </c>
      <c r="H17">
        <v>12</v>
      </c>
      <c r="I17" s="3" t="s">
        <v>2</v>
      </c>
      <c r="J17" s="3" t="s">
        <v>3</v>
      </c>
      <c r="K17" s="3" t="s">
        <v>4</v>
      </c>
      <c r="L17" s="3" t="s">
        <v>5</v>
      </c>
      <c r="M17" s="5" t="s">
        <v>8</v>
      </c>
      <c r="N17">
        <f>L20</f>
        <v>91</v>
      </c>
      <c r="O17">
        <v>21</v>
      </c>
      <c r="P17" s="3" t="s">
        <v>2</v>
      </c>
      <c r="Q17" s="3" t="s">
        <v>3</v>
      </c>
      <c r="R17" s="3" t="s">
        <v>4</v>
      </c>
      <c r="S17" s="3" t="s">
        <v>5</v>
      </c>
      <c r="T17" s="5" t="s">
        <v>8</v>
      </c>
      <c r="U17">
        <f>S20</f>
        <v>93</v>
      </c>
    </row>
    <row r="18" spans="1:21" x14ac:dyDescent="0.25">
      <c r="B18" s="3" t="s">
        <v>3</v>
      </c>
      <c r="C18" s="3">
        <v>68</v>
      </c>
      <c r="D18" s="3"/>
      <c r="E18" s="3">
        <v>4</v>
      </c>
      <c r="F18" s="6" t="s">
        <v>9</v>
      </c>
      <c r="G18">
        <f>D20+C20</f>
        <v>4</v>
      </c>
      <c r="I18" s="3" t="s">
        <v>3</v>
      </c>
      <c r="J18" s="3">
        <v>58</v>
      </c>
      <c r="K18" s="3">
        <v>7</v>
      </c>
      <c r="L18" s="3">
        <v>7</v>
      </c>
      <c r="M18" s="6" t="s">
        <v>9</v>
      </c>
      <c r="N18">
        <f>K20+J20</f>
        <v>3</v>
      </c>
      <c r="P18" s="3" t="s">
        <v>3</v>
      </c>
      <c r="Q18" s="3">
        <v>64</v>
      </c>
      <c r="R18" s="3">
        <v>7</v>
      </c>
      <c r="S18" s="3">
        <v>1</v>
      </c>
      <c r="T18" s="6" t="s">
        <v>9</v>
      </c>
      <c r="U18">
        <f>R20+Q20</f>
        <v>1</v>
      </c>
    </row>
    <row r="19" spans="1:21" x14ac:dyDescent="0.25">
      <c r="B19" s="3" t="s">
        <v>4</v>
      </c>
      <c r="C19" s="3">
        <v>22</v>
      </c>
      <c r="D19" s="3"/>
      <c r="E19" s="3">
        <v>12</v>
      </c>
      <c r="F19" s="6" t="s">
        <v>10</v>
      </c>
      <c r="G19">
        <f>E19+E18</f>
        <v>16</v>
      </c>
      <c r="I19" s="3" t="s">
        <v>4</v>
      </c>
      <c r="J19" s="3">
        <v>14</v>
      </c>
      <c r="K19" s="3">
        <v>4</v>
      </c>
      <c r="L19" s="3">
        <v>16</v>
      </c>
      <c r="M19" s="6" t="s">
        <v>10</v>
      </c>
      <c r="N19">
        <f>L19+L18</f>
        <v>23</v>
      </c>
      <c r="P19" s="3" t="s">
        <v>4</v>
      </c>
      <c r="Q19" s="3">
        <v>16</v>
      </c>
      <c r="R19" s="3">
        <v>5</v>
      </c>
      <c r="S19" s="3">
        <v>13</v>
      </c>
      <c r="T19" s="6" t="s">
        <v>10</v>
      </c>
      <c r="U19">
        <f>S19+S18</f>
        <v>14</v>
      </c>
    </row>
    <row r="20" spans="1:21" x14ac:dyDescent="0.25">
      <c r="B20" s="3" t="s">
        <v>5</v>
      </c>
      <c r="C20" s="3">
        <v>4</v>
      </c>
      <c r="D20" s="3"/>
      <c r="E20" s="3">
        <v>90</v>
      </c>
      <c r="F20" s="6" t="s">
        <v>11</v>
      </c>
      <c r="G20">
        <f>C18+C19+D18+D19</f>
        <v>90</v>
      </c>
      <c r="I20" s="3" t="s">
        <v>5</v>
      </c>
      <c r="J20" s="3">
        <v>1</v>
      </c>
      <c r="K20" s="3">
        <v>2</v>
      </c>
      <c r="L20" s="3">
        <v>91</v>
      </c>
      <c r="M20" s="6" t="s">
        <v>11</v>
      </c>
      <c r="N20">
        <f>J18+J19+K18+K19</f>
        <v>83</v>
      </c>
      <c r="P20" s="3" t="s">
        <v>5</v>
      </c>
      <c r="Q20" s="3">
        <v>1</v>
      </c>
      <c r="R20" s="3"/>
      <c r="S20" s="3">
        <v>93</v>
      </c>
      <c r="T20" s="6" t="s">
        <v>11</v>
      </c>
      <c r="U20">
        <f>Q18+Q19+R18+R19</f>
        <v>92</v>
      </c>
    </row>
    <row r="22" spans="1:21" x14ac:dyDescent="0.25">
      <c r="A22">
        <v>4</v>
      </c>
      <c r="B22" s="3" t="s">
        <v>2</v>
      </c>
      <c r="C22" s="3" t="s">
        <v>3</v>
      </c>
      <c r="D22" s="3" t="s">
        <v>4</v>
      </c>
      <c r="E22" s="3" t="s">
        <v>5</v>
      </c>
      <c r="F22" s="5" t="s">
        <v>8</v>
      </c>
      <c r="G22">
        <f>E25</f>
        <v>90</v>
      </c>
      <c r="H22">
        <v>13</v>
      </c>
      <c r="I22" s="3" t="s">
        <v>2</v>
      </c>
      <c r="J22" s="3" t="s">
        <v>3</v>
      </c>
      <c r="K22" s="3" t="s">
        <v>4</v>
      </c>
      <c r="L22" s="3" t="s">
        <v>5</v>
      </c>
      <c r="M22" s="5" t="s">
        <v>8</v>
      </c>
      <c r="N22">
        <f>L25</f>
        <v>91</v>
      </c>
      <c r="O22">
        <v>22</v>
      </c>
      <c r="P22" s="3" t="s">
        <v>2</v>
      </c>
      <c r="Q22" s="3" t="s">
        <v>3</v>
      </c>
      <c r="R22" s="3" t="s">
        <v>4</v>
      </c>
      <c r="S22" s="3" t="s">
        <v>5</v>
      </c>
      <c r="T22" s="5" t="s">
        <v>8</v>
      </c>
      <c r="U22">
        <f>S25</f>
        <v>93</v>
      </c>
    </row>
    <row r="23" spans="1:21" x14ac:dyDescent="0.25">
      <c r="B23" s="3" t="s">
        <v>3</v>
      </c>
      <c r="C23" s="3">
        <v>68</v>
      </c>
      <c r="D23" s="3"/>
      <c r="E23" s="3">
        <v>4</v>
      </c>
      <c r="F23" s="6" t="s">
        <v>9</v>
      </c>
      <c r="G23">
        <f>D25+C25</f>
        <v>4</v>
      </c>
      <c r="I23" s="3" t="s">
        <v>3</v>
      </c>
      <c r="J23" s="3">
        <v>56</v>
      </c>
      <c r="K23" s="3">
        <v>12</v>
      </c>
      <c r="L23" s="3">
        <v>4</v>
      </c>
      <c r="M23" s="6" t="s">
        <v>9</v>
      </c>
      <c r="N23">
        <f>K25+J25</f>
        <v>3</v>
      </c>
      <c r="P23" s="3" t="s">
        <v>3</v>
      </c>
      <c r="Q23" s="3">
        <v>63</v>
      </c>
      <c r="R23" s="3">
        <v>8</v>
      </c>
      <c r="S23" s="3">
        <v>1</v>
      </c>
      <c r="T23" s="6" t="s">
        <v>9</v>
      </c>
      <c r="U23">
        <f>R25+Q25</f>
        <v>1</v>
      </c>
    </row>
    <row r="24" spans="1:21" x14ac:dyDescent="0.25">
      <c r="B24" s="3" t="s">
        <v>4</v>
      </c>
      <c r="C24" s="3">
        <v>22</v>
      </c>
      <c r="D24" s="3"/>
      <c r="E24" s="3">
        <v>12</v>
      </c>
      <c r="F24" s="6" t="s">
        <v>10</v>
      </c>
      <c r="G24">
        <f>E24+E23</f>
        <v>16</v>
      </c>
      <c r="I24" s="3" t="s">
        <v>4</v>
      </c>
      <c r="J24" s="3">
        <v>13</v>
      </c>
      <c r="K24" s="3">
        <v>6</v>
      </c>
      <c r="L24" s="3">
        <v>15</v>
      </c>
      <c r="M24" s="6" t="s">
        <v>10</v>
      </c>
      <c r="N24">
        <f>L24+L23</f>
        <v>19</v>
      </c>
      <c r="P24" s="3" t="s">
        <v>4</v>
      </c>
      <c r="Q24" s="3">
        <v>17</v>
      </c>
      <c r="R24" s="3">
        <v>4</v>
      </c>
      <c r="S24" s="3">
        <v>13</v>
      </c>
      <c r="T24" s="6" t="s">
        <v>10</v>
      </c>
      <c r="U24">
        <f>S24+S23</f>
        <v>14</v>
      </c>
    </row>
    <row r="25" spans="1:21" x14ac:dyDescent="0.25">
      <c r="B25" s="3" t="s">
        <v>5</v>
      </c>
      <c r="C25" s="3">
        <v>4</v>
      </c>
      <c r="D25" s="3"/>
      <c r="E25" s="3">
        <v>90</v>
      </c>
      <c r="F25" s="6" t="s">
        <v>11</v>
      </c>
      <c r="G25">
        <f>C23+C24+D23+D24</f>
        <v>90</v>
      </c>
      <c r="I25" s="3" t="s">
        <v>5</v>
      </c>
      <c r="J25" s="3">
        <v>1</v>
      </c>
      <c r="K25" s="3">
        <v>2</v>
      </c>
      <c r="L25" s="3">
        <v>91</v>
      </c>
      <c r="M25" s="6" t="s">
        <v>11</v>
      </c>
      <c r="N25">
        <f>J23+J24+K23+K24</f>
        <v>87</v>
      </c>
      <c r="P25" s="3" t="s">
        <v>5</v>
      </c>
      <c r="Q25" s="3">
        <v>1</v>
      </c>
      <c r="R25" s="3"/>
      <c r="S25" s="3">
        <v>93</v>
      </c>
      <c r="T25" s="6" t="s">
        <v>11</v>
      </c>
      <c r="U25">
        <f>Q23+Q24+R23+R24</f>
        <v>92</v>
      </c>
    </row>
    <row r="27" spans="1:21" x14ac:dyDescent="0.25">
      <c r="A27">
        <v>5</v>
      </c>
      <c r="B27" s="3" t="s">
        <v>2</v>
      </c>
      <c r="C27" s="3" t="s">
        <v>3</v>
      </c>
      <c r="D27" s="3" t="s">
        <v>4</v>
      </c>
      <c r="E27" s="3" t="s">
        <v>5</v>
      </c>
      <c r="F27" s="5" t="s">
        <v>8</v>
      </c>
      <c r="G27">
        <f>E30</f>
        <v>90</v>
      </c>
      <c r="H27">
        <v>14</v>
      </c>
      <c r="I27" s="3" t="s">
        <v>2</v>
      </c>
      <c r="J27" s="3" t="s">
        <v>3</v>
      </c>
      <c r="K27" s="3" t="s">
        <v>4</v>
      </c>
      <c r="L27" s="3" t="s">
        <v>5</v>
      </c>
      <c r="M27" s="5" t="s">
        <v>8</v>
      </c>
      <c r="N27">
        <f>L30</f>
        <v>92</v>
      </c>
      <c r="O27">
        <v>23</v>
      </c>
      <c r="P27" s="3" t="s">
        <v>2</v>
      </c>
      <c r="Q27" s="3" t="s">
        <v>3</v>
      </c>
      <c r="R27" s="3" t="s">
        <v>4</v>
      </c>
      <c r="S27" s="3" t="s">
        <v>5</v>
      </c>
      <c r="T27" s="5" t="s">
        <v>8</v>
      </c>
      <c r="U27">
        <f>S30</f>
        <v>93</v>
      </c>
    </row>
    <row r="28" spans="1:21" x14ac:dyDescent="0.25">
      <c r="B28" s="3" t="s">
        <v>3</v>
      </c>
      <c r="C28" s="3">
        <v>65</v>
      </c>
      <c r="D28" s="3">
        <v>2</v>
      </c>
      <c r="E28" s="3">
        <v>5</v>
      </c>
      <c r="F28" s="6" t="s">
        <v>9</v>
      </c>
      <c r="G28">
        <f>D30+C30</f>
        <v>4</v>
      </c>
      <c r="I28" s="3" t="s">
        <v>3</v>
      </c>
      <c r="J28" s="3">
        <v>62</v>
      </c>
      <c r="K28" s="3">
        <v>6</v>
      </c>
      <c r="L28" s="3">
        <v>4</v>
      </c>
      <c r="M28" s="6" t="s">
        <v>9</v>
      </c>
      <c r="N28">
        <f>K30+J30</f>
        <v>2</v>
      </c>
      <c r="P28" s="3" t="s">
        <v>3</v>
      </c>
      <c r="Q28" s="3">
        <v>67</v>
      </c>
      <c r="R28" s="3">
        <v>4</v>
      </c>
      <c r="S28" s="3">
        <v>1</v>
      </c>
      <c r="T28" s="6" t="s">
        <v>9</v>
      </c>
      <c r="U28">
        <f>R30+Q30</f>
        <v>1</v>
      </c>
    </row>
    <row r="29" spans="1:21" x14ac:dyDescent="0.25">
      <c r="B29" s="3" t="s">
        <v>4</v>
      </c>
      <c r="C29" s="3">
        <v>20</v>
      </c>
      <c r="D29" s="3">
        <v>1</v>
      </c>
      <c r="E29" s="3">
        <v>13</v>
      </c>
      <c r="F29" s="6" t="s">
        <v>10</v>
      </c>
      <c r="G29">
        <f>E29+E28</f>
        <v>18</v>
      </c>
      <c r="I29" s="3" t="s">
        <v>4</v>
      </c>
      <c r="J29" s="3">
        <v>13</v>
      </c>
      <c r="K29" s="3">
        <v>6</v>
      </c>
      <c r="L29" s="3">
        <v>15</v>
      </c>
      <c r="M29" s="6" t="s">
        <v>10</v>
      </c>
      <c r="N29">
        <f>L29+L28</f>
        <v>19</v>
      </c>
      <c r="P29" s="3" t="s">
        <v>4</v>
      </c>
      <c r="Q29" s="3">
        <v>18</v>
      </c>
      <c r="R29" s="3">
        <v>3</v>
      </c>
      <c r="S29" s="3">
        <v>13</v>
      </c>
      <c r="T29" s="6" t="s">
        <v>10</v>
      </c>
      <c r="U29">
        <f>S29+S28</f>
        <v>14</v>
      </c>
    </row>
    <row r="30" spans="1:21" x14ac:dyDescent="0.25">
      <c r="B30" s="3" t="s">
        <v>5</v>
      </c>
      <c r="C30" s="3">
        <v>3</v>
      </c>
      <c r="D30" s="3">
        <v>1</v>
      </c>
      <c r="E30" s="3">
        <v>90</v>
      </c>
      <c r="F30" s="6" t="s">
        <v>11</v>
      </c>
      <c r="G30">
        <f>C28+C29+D28+D29</f>
        <v>88</v>
      </c>
      <c r="I30" s="3" t="s">
        <v>5</v>
      </c>
      <c r="J30" s="3"/>
      <c r="K30" s="3">
        <v>2</v>
      </c>
      <c r="L30" s="3">
        <v>92</v>
      </c>
      <c r="M30" s="6" t="s">
        <v>11</v>
      </c>
      <c r="N30">
        <f>J28+J29+K28+K29</f>
        <v>87</v>
      </c>
      <c r="P30" s="3" t="s">
        <v>5</v>
      </c>
      <c r="Q30" s="3">
        <v>1</v>
      </c>
      <c r="R30" s="3"/>
      <c r="S30" s="3">
        <v>93</v>
      </c>
      <c r="T30" s="6" t="s">
        <v>11</v>
      </c>
      <c r="U30">
        <f>Q28+Q29+R28+R29</f>
        <v>92</v>
      </c>
    </row>
    <row r="32" spans="1:21" x14ac:dyDescent="0.25">
      <c r="A32">
        <v>6</v>
      </c>
      <c r="B32" s="3" t="s">
        <v>2</v>
      </c>
      <c r="C32" s="3" t="s">
        <v>3</v>
      </c>
      <c r="D32" s="3" t="s">
        <v>4</v>
      </c>
      <c r="E32" s="3" t="s">
        <v>5</v>
      </c>
      <c r="F32" s="5" t="s">
        <v>8</v>
      </c>
      <c r="G32">
        <f>E35</f>
        <v>90</v>
      </c>
      <c r="H32">
        <v>15</v>
      </c>
      <c r="I32" s="3" t="s">
        <v>2</v>
      </c>
      <c r="J32" s="3" t="s">
        <v>3</v>
      </c>
      <c r="K32" s="3" t="s">
        <v>4</v>
      </c>
      <c r="L32" s="3" t="s">
        <v>5</v>
      </c>
      <c r="M32" s="5" t="s">
        <v>8</v>
      </c>
      <c r="N32">
        <f>L35</f>
        <v>94</v>
      </c>
      <c r="O32">
        <v>24</v>
      </c>
      <c r="P32" s="3" t="s">
        <v>2</v>
      </c>
      <c r="Q32" s="3" t="s">
        <v>3</v>
      </c>
      <c r="R32" s="3" t="s">
        <v>4</v>
      </c>
      <c r="S32" s="3" t="s">
        <v>5</v>
      </c>
      <c r="T32" s="5" t="s">
        <v>8</v>
      </c>
      <c r="U32">
        <f>S35</f>
        <v>93</v>
      </c>
    </row>
    <row r="33" spans="1:30" x14ac:dyDescent="0.25">
      <c r="B33" s="3" t="s">
        <v>3</v>
      </c>
      <c r="C33" s="3">
        <v>62</v>
      </c>
      <c r="D33" s="3">
        <v>6</v>
      </c>
      <c r="E33" s="3">
        <v>4</v>
      </c>
      <c r="F33" s="6" t="s">
        <v>9</v>
      </c>
      <c r="G33">
        <f>D35+C35</f>
        <v>4</v>
      </c>
      <c r="I33" s="3" t="s">
        <v>3</v>
      </c>
      <c r="J33" s="3">
        <v>62</v>
      </c>
      <c r="K33" s="3">
        <v>6</v>
      </c>
      <c r="L33" s="3">
        <v>4</v>
      </c>
      <c r="M33" s="6" t="s">
        <v>9</v>
      </c>
      <c r="N33">
        <f>K35+J35</f>
        <v>0</v>
      </c>
      <c r="P33" s="3" t="s">
        <v>3</v>
      </c>
      <c r="Q33" s="3">
        <v>63</v>
      </c>
      <c r="R33" s="3">
        <v>8</v>
      </c>
      <c r="S33" s="3">
        <v>1</v>
      </c>
      <c r="T33" s="6" t="s">
        <v>9</v>
      </c>
      <c r="U33">
        <f>R35+Q35</f>
        <v>1</v>
      </c>
    </row>
    <row r="34" spans="1:30" x14ac:dyDescent="0.25">
      <c r="B34" s="3" t="s">
        <v>4</v>
      </c>
      <c r="C34" s="3">
        <v>19</v>
      </c>
      <c r="D34" s="3">
        <v>3</v>
      </c>
      <c r="E34" s="3">
        <v>12</v>
      </c>
      <c r="F34" s="6" t="s">
        <v>10</v>
      </c>
      <c r="G34">
        <f>E34+E33</f>
        <v>16</v>
      </c>
      <c r="I34" s="3" t="s">
        <v>4</v>
      </c>
      <c r="J34" s="3">
        <v>15</v>
      </c>
      <c r="K34" s="3">
        <v>4</v>
      </c>
      <c r="L34" s="3">
        <v>15</v>
      </c>
      <c r="M34" s="6" t="s">
        <v>10</v>
      </c>
      <c r="N34">
        <f>L34+L33</f>
        <v>19</v>
      </c>
      <c r="P34" s="3" t="s">
        <v>4</v>
      </c>
      <c r="Q34" s="3">
        <v>17</v>
      </c>
      <c r="R34" s="3">
        <v>5</v>
      </c>
      <c r="S34" s="3">
        <v>12</v>
      </c>
      <c r="T34" s="6" t="s">
        <v>10</v>
      </c>
      <c r="U34">
        <f>S34+S33</f>
        <v>13</v>
      </c>
    </row>
    <row r="35" spans="1:30" x14ac:dyDescent="0.25">
      <c r="B35" s="3" t="s">
        <v>5</v>
      </c>
      <c r="C35" s="3">
        <v>3</v>
      </c>
      <c r="D35" s="3">
        <v>1</v>
      </c>
      <c r="E35" s="3">
        <v>90</v>
      </c>
      <c r="F35" s="6" t="s">
        <v>11</v>
      </c>
      <c r="G35">
        <f>C33+C34+D33+D34</f>
        <v>90</v>
      </c>
      <c r="I35" s="3" t="s">
        <v>5</v>
      </c>
      <c r="J35" s="3"/>
      <c r="K35" s="3"/>
      <c r="L35" s="3">
        <v>94</v>
      </c>
      <c r="M35" s="6" t="s">
        <v>11</v>
      </c>
      <c r="N35">
        <f>J33+J34+K33+K34</f>
        <v>87</v>
      </c>
      <c r="P35" s="3" t="s">
        <v>5</v>
      </c>
      <c r="Q35" s="3">
        <v>1</v>
      </c>
      <c r="R35" s="3"/>
      <c r="S35" s="3">
        <v>93</v>
      </c>
      <c r="T35" s="6" t="s">
        <v>11</v>
      </c>
      <c r="U35">
        <f>Q33+Q34+R33+R34</f>
        <v>93</v>
      </c>
    </row>
    <row r="37" spans="1:30" x14ac:dyDescent="0.25">
      <c r="A37">
        <v>7</v>
      </c>
      <c r="B37" s="3" t="s">
        <v>2</v>
      </c>
      <c r="C37" s="3" t="s">
        <v>3</v>
      </c>
      <c r="D37" s="3" t="s">
        <v>4</v>
      </c>
      <c r="E37" s="3" t="s">
        <v>5</v>
      </c>
      <c r="F37" s="5" t="s">
        <v>8</v>
      </c>
      <c r="G37">
        <f>E40</f>
        <v>90</v>
      </c>
      <c r="H37">
        <v>16</v>
      </c>
      <c r="I37" s="3" t="s">
        <v>2</v>
      </c>
      <c r="J37" s="3" t="s">
        <v>3</v>
      </c>
      <c r="K37" s="3" t="s">
        <v>4</v>
      </c>
      <c r="L37" s="3" t="s">
        <v>5</v>
      </c>
      <c r="M37" s="5" t="s">
        <v>8</v>
      </c>
      <c r="N37">
        <f>L40</f>
        <v>93</v>
      </c>
      <c r="O37">
        <v>25</v>
      </c>
      <c r="P37" s="3" t="s">
        <v>2</v>
      </c>
      <c r="Q37" s="3" t="s">
        <v>3</v>
      </c>
      <c r="R37" s="3" t="s">
        <v>4</v>
      </c>
      <c r="S37" s="3" t="s">
        <v>5</v>
      </c>
      <c r="T37" s="5" t="s">
        <v>8</v>
      </c>
      <c r="U37">
        <f>S40</f>
        <v>93</v>
      </c>
    </row>
    <row r="38" spans="1:30" x14ac:dyDescent="0.25">
      <c r="B38" s="3" t="s">
        <v>3</v>
      </c>
      <c r="C38" s="3">
        <v>62</v>
      </c>
      <c r="D38" s="3">
        <v>6</v>
      </c>
      <c r="E38" s="3">
        <v>4</v>
      </c>
      <c r="F38" s="6" t="s">
        <v>9</v>
      </c>
      <c r="G38">
        <f>D40+C40</f>
        <v>4</v>
      </c>
      <c r="I38" s="3" t="s">
        <v>3</v>
      </c>
      <c r="J38" s="3">
        <v>63</v>
      </c>
      <c r="K38" s="3">
        <v>5</v>
      </c>
      <c r="L38" s="3">
        <v>4</v>
      </c>
      <c r="M38" s="6" t="s">
        <v>9</v>
      </c>
      <c r="N38">
        <f>K40+J40</f>
        <v>1</v>
      </c>
      <c r="P38" s="3" t="s">
        <v>3</v>
      </c>
      <c r="Q38" s="3">
        <v>63</v>
      </c>
      <c r="R38" s="3">
        <v>8</v>
      </c>
      <c r="S38" s="3">
        <v>1</v>
      </c>
      <c r="T38" s="6" t="s">
        <v>9</v>
      </c>
      <c r="U38">
        <f>R40+Q40</f>
        <v>1</v>
      </c>
    </row>
    <row r="39" spans="1:30" x14ac:dyDescent="0.25">
      <c r="B39" s="3" t="s">
        <v>4</v>
      </c>
      <c r="C39" s="3">
        <v>18</v>
      </c>
      <c r="D39" s="3">
        <v>3</v>
      </c>
      <c r="E39" s="3">
        <v>13</v>
      </c>
      <c r="F39" s="6" t="s">
        <v>10</v>
      </c>
      <c r="G39">
        <f>E39+E38</f>
        <v>17</v>
      </c>
      <c r="I39" s="3" t="s">
        <v>4</v>
      </c>
      <c r="J39" s="3">
        <v>14</v>
      </c>
      <c r="K39" s="3">
        <v>5</v>
      </c>
      <c r="L39" s="3">
        <v>15</v>
      </c>
      <c r="M39" s="6" t="s">
        <v>10</v>
      </c>
      <c r="N39">
        <f>L39+L38</f>
        <v>19</v>
      </c>
      <c r="P39" s="3" t="s">
        <v>4</v>
      </c>
      <c r="Q39" s="3">
        <v>17</v>
      </c>
      <c r="R39" s="3">
        <v>5</v>
      </c>
      <c r="S39" s="3">
        <v>12</v>
      </c>
      <c r="T39" s="6" t="s">
        <v>10</v>
      </c>
      <c r="U39">
        <f>S39+S38</f>
        <v>13</v>
      </c>
    </row>
    <row r="40" spans="1:30" x14ac:dyDescent="0.25">
      <c r="B40" s="3" t="s">
        <v>5</v>
      </c>
      <c r="C40" s="3">
        <v>3</v>
      </c>
      <c r="D40" s="3">
        <v>1</v>
      </c>
      <c r="E40" s="3">
        <v>90</v>
      </c>
      <c r="F40" s="6" t="s">
        <v>11</v>
      </c>
      <c r="G40">
        <f>C38+C39+D38+D39</f>
        <v>89</v>
      </c>
      <c r="I40" s="3" t="s">
        <v>5</v>
      </c>
      <c r="J40" s="3">
        <v>1</v>
      </c>
      <c r="K40" s="3"/>
      <c r="L40" s="3">
        <v>93</v>
      </c>
      <c r="M40" s="6" t="s">
        <v>11</v>
      </c>
      <c r="N40">
        <f>J38+J39+K38+K39</f>
        <v>87</v>
      </c>
      <c r="P40" s="3" t="s">
        <v>5</v>
      </c>
      <c r="Q40" s="3">
        <v>1</v>
      </c>
      <c r="R40" s="3"/>
      <c r="S40" s="3">
        <v>93</v>
      </c>
      <c r="T40" s="6" t="s">
        <v>11</v>
      </c>
      <c r="U40">
        <f>Q38+Q39+R38+R39</f>
        <v>93</v>
      </c>
    </row>
    <row r="42" spans="1:30" x14ac:dyDescent="0.25">
      <c r="A42">
        <v>8</v>
      </c>
      <c r="B42" s="3" t="s">
        <v>2</v>
      </c>
      <c r="C42" s="3" t="s">
        <v>3</v>
      </c>
      <c r="D42" s="3" t="s">
        <v>4</v>
      </c>
      <c r="E42" s="3" t="s">
        <v>5</v>
      </c>
      <c r="F42" s="5" t="s">
        <v>8</v>
      </c>
      <c r="G42">
        <f>E45</f>
        <v>90</v>
      </c>
      <c r="H42">
        <v>17</v>
      </c>
      <c r="I42" s="3" t="s">
        <v>2</v>
      </c>
      <c r="J42" s="3" t="s">
        <v>3</v>
      </c>
      <c r="K42" s="3" t="s">
        <v>4</v>
      </c>
      <c r="L42" s="3" t="s">
        <v>5</v>
      </c>
      <c r="M42" s="5" t="s">
        <v>8</v>
      </c>
      <c r="N42">
        <f>L45</f>
        <v>92</v>
      </c>
      <c r="O42">
        <v>26</v>
      </c>
      <c r="P42" s="3" t="s">
        <v>2</v>
      </c>
      <c r="Q42" s="3" t="s">
        <v>3</v>
      </c>
      <c r="R42" s="3" t="s">
        <v>4</v>
      </c>
      <c r="S42" s="3" t="s">
        <v>5</v>
      </c>
      <c r="T42" s="5" t="s">
        <v>8</v>
      </c>
      <c r="U42">
        <f>S45</f>
        <v>93</v>
      </c>
    </row>
    <row r="43" spans="1:30" x14ac:dyDescent="0.25">
      <c r="B43" s="3" t="s">
        <v>3</v>
      </c>
      <c r="C43" s="3">
        <v>59</v>
      </c>
      <c r="D43" s="3">
        <v>9</v>
      </c>
      <c r="E43" s="3">
        <v>4</v>
      </c>
      <c r="F43" s="6" t="s">
        <v>9</v>
      </c>
      <c r="G43">
        <f>D45+C45</f>
        <v>4</v>
      </c>
      <c r="I43" s="3" t="s">
        <v>3</v>
      </c>
      <c r="J43" s="3">
        <v>63</v>
      </c>
      <c r="K43" s="3">
        <v>6</v>
      </c>
      <c r="L43" s="3">
        <v>3</v>
      </c>
      <c r="M43" s="6" t="s">
        <v>9</v>
      </c>
      <c r="N43">
        <f>K45+J45</f>
        <v>2</v>
      </c>
      <c r="P43" s="3" t="s">
        <v>3</v>
      </c>
      <c r="Q43" s="3">
        <v>67</v>
      </c>
      <c r="R43" s="3">
        <v>4</v>
      </c>
      <c r="S43" s="3">
        <v>1</v>
      </c>
      <c r="T43" s="6" t="s">
        <v>9</v>
      </c>
      <c r="U43">
        <f>R45+Q45</f>
        <v>1</v>
      </c>
    </row>
    <row r="44" spans="1:30" x14ac:dyDescent="0.25">
      <c r="B44" s="3" t="s">
        <v>4</v>
      </c>
      <c r="C44" s="3">
        <v>16</v>
      </c>
      <c r="D44" s="3">
        <v>4</v>
      </c>
      <c r="E44" s="3">
        <v>14</v>
      </c>
      <c r="F44" s="6" t="s">
        <v>10</v>
      </c>
      <c r="G44">
        <f>E44+E43</f>
        <v>18</v>
      </c>
      <c r="I44" s="3" t="s">
        <v>4</v>
      </c>
      <c r="J44" s="3">
        <v>15</v>
      </c>
      <c r="K44" s="3">
        <v>4</v>
      </c>
      <c r="L44" s="3">
        <v>15</v>
      </c>
      <c r="M44" s="6" t="s">
        <v>10</v>
      </c>
      <c r="N44">
        <f>L44+L43</f>
        <v>18</v>
      </c>
      <c r="P44" s="3" t="s">
        <v>4</v>
      </c>
      <c r="Q44" s="3">
        <v>19</v>
      </c>
      <c r="R44" s="3">
        <v>3</v>
      </c>
      <c r="S44" s="3">
        <v>12</v>
      </c>
      <c r="T44" s="6" t="s">
        <v>10</v>
      </c>
      <c r="U44">
        <f>S44+S43</f>
        <v>13</v>
      </c>
    </row>
    <row r="45" spans="1:30" x14ac:dyDescent="0.25">
      <c r="B45" s="3" t="s">
        <v>5</v>
      </c>
      <c r="C45" s="3">
        <v>3</v>
      </c>
      <c r="D45" s="3">
        <v>1</v>
      </c>
      <c r="E45" s="3">
        <v>90</v>
      </c>
      <c r="F45" s="6" t="s">
        <v>11</v>
      </c>
      <c r="G45">
        <f>C43+C44+D43+D44</f>
        <v>88</v>
      </c>
      <c r="I45" s="3" t="s">
        <v>5</v>
      </c>
      <c r="J45" s="3">
        <v>2</v>
      </c>
      <c r="K45" s="3"/>
      <c r="L45" s="3">
        <v>92</v>
      </c>
      <c r="M45" s="6" t="s">
        <v>11</v>
      </c>
      <c r="N45">
        <f>J43+J44+K43+K44</f>
        <v>88</v>
      </c>
      <c r="P45" s="3" t="s">
        <v>5</v>
      </c>
      <c r="Q45" s="3">
        <v>1</v>
      </c>
      <c r="R45" s="3"/>
      <c r="S45" s="3">
        <v>93</v>
      </c>
      <c r="T45" s="6" t="s">
        <v>11</v>
      </c>
      <c r="U45">
        <f>Q43+Q44+R43+R44</f>
        <v>93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4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90</v>
      </c>
      <c r="C48">
        <f>G12</f>
        <v>90</v>
      </c>
      <c r="D48">
        <f>G17</f>
        <v>90</v>
      </c>
      <c r="E48">
        <f>G22</f>
        <v>90</v>
      </c>
      <c r="F48" s="4">
        <f>G27</f>
        <v>90</v>
      </c>
      <c r="G48">
        <f>G32</f>
        <v>90</v>
      </c>
      <c r="H48">
        <f>G37</f>
        <v>90</v>
      </c>
      <c r="I48">
        <f>G42</f>
        <v>90</v>
      </c>
      <c r="J48">
        <f>N2</f>
        <v>91</v>
      </c>
      <c r="K48">
        <f>N7</f>
        <v>91</v>
      </c>
      <c r="L48">
        <f>N12</f>
        <v>91</v>
      </c>
      <c r="M48">
        <f>N17</f>
        <v>91</v>
      </c>
      <c r="N48">
        <f>N22</f>
        <v>91</v>
      </c>
      <c r="O48">
        <f>N27</f>
        <v>92</v>
      </c>
      <c r="P48">
        <f>N32</f>
        <v>94</v>
      </c>
      <c r="Q48">
        <f>N37</f>
        <v>93</v>
      </c>
      <c r="R48">
        <f>N42</f>
        <v>92</v>
      </c>
      <c r="S48">
        <f>U2</f>
        <v>92</v>
      </c>
      <c r="T48">
        <f>U7</f>
        <v>91</v>
      </c>
      <c r="U48">
        <f>U12</f>
        <v>92</v>
      </c>
      <c r="V48">
        <f>U17</f>
        <v>93</v>
      </c>
      <c r="W48">
        <f>U22</f>
        <v>93</v>
      </c>
      <c r="X48">
        <f>U27</f>
        <v>93</v>
      </c>
      <c r="Y48">
        <f>U32</f>
        <v>93</v>
      </c>
      <c r="Z48">
        <f>U37</f>
        <v>93</v>
      </c>
      <c r="AA48">
        <f>U42</f>
        <v>93</v>
      </c>
      <c r="AB48">
        <f>AB2</f>
        <v>92</v>
      </c>
      <c r="AC48">
        <f>AB7</f>
        <v>92</v>
      </c>
      <c r="AD48">
        <f>G2</f>
        <v>92</v>
      </c>
    </row>
    <row r="49" spans="1:30" x14ac:dyDescent="0.25">
      <c r="A49" t="s">
        <v>9</v>
      </c>
      <c r="B49">
        <f t="shared" ref="B49:B51" si="0">G8</f>
        <v>4</v>
      </c>
      <c r="C49">
        <f t="shared" ref="C49:C51" si="1">G13</f>
        <v>4</v>
      </c>
      <c r="D49">
        <f t="shared" ref="D49:D51" si="2">G18</f>
        <v>4</v>
      </c>
      <c r="E49">
        <f t="shared" ref="E49:E51" si="3">G23</f>
        <v>4</v>
      </c>
      <c r="F49" s="4">
        <f t="shared" ref="F49:F51" si="4">G28</f>
        <v>4</v>
      </c>
      <c r="G49">
        <f t="shared" ref="G49:G51" si="5">G33</f>
        <v>4</v>
      </c>
      <c r="H49">
        <f t="shared" ref="H49:H51" si="6">G38</f>
        <v>4</v>
      </c>
      <c r="I49">
        <f t="shared" ref="I49:I51" si="7">G43</f>
        <v>4</v>
      </c>
      <c r="J49">
        <f t="shared" ref="J49:J51" si="8">N3</f>
        <v>3</v>
      </c>
      <c r="K49">
        <f t="shared" ref="K49:K51" si="9">N8</f>
        <v>3</v>
      </c>
      <c r="L49">
        <f t="shared" ref="L49:L51" si="10">N13</f>
        <v>3</v>
      </c>
      <c r="M49">
        <f t="shared" ref="M49:M51" si="11">N18</f>
        <v>3</v>
      </c>
      <c r="N49">
        <f t="shared" ref="N49:N51" si="12">N23</f>
        <v>3</v>
      </c>
      <c r="O49">
        <f t="shared" ref="O49:O51" si="13">N28</f>
        <v>2</v>
      </c>
      <c r="P49">
        <f t="shared" ref="P49:P51" si="14">N33</f>
        <v>0</v>
      </c>
      <c r="Q49">
        <f t="shared" ref="Q49:Q51" si="15">N38</f>
        <v>1</v>
      </c>
      <c r="R49">
        <f t="shared" ref="R49:R51" si="16">N43</f>
        <v>2</v>
      </c>
      <c r="S49">
        <f t="shared" ref="S49:S51" si="17">U3</f>
        <v>2</v>
      </c>
      <c r="T49">
        <f t="shared" ref="T49:T51" si="18">U8</f>
        <v>3</v>
      </c>
      <c r="U49">
        <f t="shared" ref="U49:U51" si="19">U13</f>
        <v>2</v>
      </c>
      <c r="V49">
        <f t="shared" ref="V49:V51" si="20">U18</f>
        <v>1</v>
      </c>
      <c r="W49">
        <f t="shared" ref="W49:W51" si="21">U23</f>
        <v>1</v>
      </c>
      <c r="X49">
        <f t="shared" ref="X49:X51" si="22">U28</f>
        <v>1</v>
      </c>
      <c r="Y49">
        <f t="shared" ref="Y49:Y51" si="23">U33</f>
        <v>1</v>
      </c>
      <c r="Z49">
        <f t="shared" ref="Z49:Z50" si="24">U38</f>
        <v>1</v>
      </c>
      <c r="AA49">
        <f t="shared" ref="AA49:AA51" si="25">U43</f>
        <v>1</v>
      </c>
      <c r="AB49">
        <f t="shared" ref="AB49:AB51" si="26">AB3</f>
        <v>2</v>
      </c>
      <c r="AC49">
        <f t="shared" ref="AC49:AC51" si="27">AB8</f>
        <v>2</v>
      </c>
      <c r="AD49">
        <f t="shared" ref="AD49:AD51" si="28">G3</f>
        <v>2</v>
      </c>
    </row>
    <row r="50" spans="1:30" x14ac:dyDescent="0.25">
      <c r="A50" t="s">
        <v>10</v>
      </c>
      <c r="B50">
        <f t="shared" si="0"/>
        <v>16</v>
      </c>
      <c r="C50">
        <f t="shared" si="1"/>
        <v>16</v>
      </c>
      <c r="D50">
        <f t="shared" si="2"/>
        <v>16</v>
      </c>
      <c r="E50">
        <f t="shared" si="3"/>
        <v>16</v>
      </c>
      <c r="F50" s="4">
        <f t="shared" si="4"/>
        <v>18</v>
      </c>
      <c r="G50">
        <f t="shared" si="5"/>
        <v>16</v>
      </c>
      <c r="H50">
        <f t="shared" si="6"/>
        <v>17</v>
      </c>
      <c r="I50">
        <f t="shared" si="7"/>
        <v>18</v>
      </c>
      <c r="J50">
        <f t="shared" si="8"/>
        <v>24</v>
      </c>
      <c r="K50">
        <f t="shared" si="9"/>
        <v>23</v>
      </c>
      <c r="L50">
        <f t="shared" si="10"/>
        <v>24</v>
      </c>
      <c r="M50">
        <f t="shared" si="11"/>
        <v>23</v>
      </c>
      <c r="N50">
        <f t="shared" si="12"/>
        <v>19</v>
      </c>
      <c r="O50">
        <f t="shared" si="13"/>
        <v>19</v>
      </c>
      <c r="P50">
        <f t="shared" si="14"/>
        <v>19</v>
      </c>
      <c r="Q50">
        <f t="shared" si="15"/>
        <v>19</v>
      </c>
      <c r="R50">
        <f t="shared" si="16"/>
        <v>18</v>
      </c>
      <c r="S50">
        <f t="shared" si="17"/>
        <v>19</v>
      </c>
      <c r="T50">
        <f t="shared" si="18"/>
        <v>15</v>
      </c>
      <c r="U50">
        <f t="shared" si="19"/>
        <v>14</v>
      </c>
      <c r="V50">
        <f t="shared" si="20"/>
        <v>14</v>
      </c>
      <c r="W50">
        <f t="shared" si="21"/>
        <v>14</v>
      </c>
      <c r="X50">
        <f t="shared" si="22"/>
        <v>14</v>
      </c>
      <c r="Y50">
        <f t="shared" si="23"/>
        <v>13</v>
      </c>
      <c r="Z50">
        <f t="shared" si="24"/>
        <v>13</v>
      </c>
      <c r="AA50">
        <f t="shared" si="25"/>
        <v>13</v>
      </c>
      <c r="AB50">
        <f t="shared" si="26"/>
        <v>12</v>
      </c>
      <c r="AC50">
        <f t="shared" si="27"/>
        <v>12</v>
      </c>
      <c r="AD50">
        <f t="shared" si="28"/>
        <v>13</v>
      </c>
    </row>
    <row r="51" spans="1:30" x14ac:dyDescent="0.25">
      <c r="A51" t="s">
        <v>11</v>
      </c>
      <c r="B51">
        <f t="shared" si="0"/>
        <v>90</v>
      </c>
      <c r="C51">
        <f t="shared" si="1"/>
        <v>90</v>
      </c>
      <c r="D51">
        <f t="shared" si="2"/>
        <v>90</v>
      </c>
      <c r="E51">
        <f t="shared" si="3"/>
        <v>90</v>
      </c>
      <c r="F51" s="4">
        <f t="shared" si="4"/>
        <v>88</v>
      </c>
      <c r="G51">
        <f t="shared" si="5"/>
        <v>90</v>
      </c>
      <c r="H51">
        <f t="shared" si="6"/>
        <v>89</v>
      </c>
      <c r="I51">
        <f t="shared" si="7"/>
        <v>88</v>
      </c>
      <c r="J51">
        <f t="shared" si="8"/>
        <v>82</v>
      </c>
      <c r="K51">
        <f t="shared" si="9"/>
        <v>83</v>
      </c>
      <c r="L51">
        <f t="shared" si="10"/>
        <v>82</v>
      </c>
      <c r="M51">
        <f t="shared" si="11"/>
        <v>83</v>
      </c>
      <c r="N51">
        <f t="shared" si="12"/>
        <v>87</v>
      </c>
      <c r="O51">
        <f t="shared" si="13"/>
        <v>87</v>
      </c>
      <c r="P51">
        <f t="shared" si="14"/>
        <v>87</v>
      </c>
      <c r="Q51">
        <f t="shared" si="15"/>
        <v>87</v>
      </c>
      <c r="R51">
        <f t="shared" si="16"/>
        <v>88</v>
      </c>
      <c r="S51">
        <f t="shared" si="17"/>
        <v>87</v>
      </c>
      <c r="T51">
        <f t="shared" si="18"/>
        <v>91</v>
      </c>
      <c r="U51">
        <f t="shared" si="19"/>
        <v>92</v>
      </c>
      <c r="V51">
        <f t="shared" si="20"/>
        <v>92</v>
      </c>
      <c r="W51">
        <f t="shared" si="21"/>
        <v>92</v>
      </c>
      <c r="X51">
        <f t="shared" si="22"/>
        <v>92</v>
      </c>
      <c r="Y51">
        <f t="shared" si="23"/>
        <v>93</v>
      </c>
      <c r="Z51">
        <f>U40</f>
        <v>93</v>
      </c>
      <c r="AA51">
        <f t="shared" si="25"/>
        <v>93</v>
      </c>
      <c r="AB51">
        <f t="shared" si="26"/>
        <v>94</v>
      </c>
      <c r="AC51">
        <f t="shared" si="27"/>
        <v>94</v>
      </c>
      <c r="AD51">
        <f t="shared" si="28"/>
        <v>93</v>
      </c>
    </row>
    <row r="52" spans="1:30" x14ac:dyDescent="0.25">
      <c r="A5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39BB-EBAA-496F-B0D4-49B01BD8C6A0}">
  <dimension ref="A2:AD51"/>
  <sheetViews>
    <sheetView zoomScale="70" zoomScaleNormal="70" workbookViewId="0">
      <selection activeCell="B48" sqref="B48:AD51"/>
    </sheetView>
  </sheetViews>
  <sheetFormatPr baseColWidth="10" defaultRowHeight="15" x14ac:dyDescent="0.25"/>
  <cols>
    <col min="2" max="2" width="12.85546875" bestFit="1" customWidth="1"/>
    <col min="6" max="6" width="15.42578125" style="4" customWidth="1"/>
  </cols>
  <sheetData>
    <row r="2" spans="1:28" x14ac:dyDescent="0.25">
      <c r="A2">
        <v>29</v>
      </c>
      <c r="B2" s="3" t="s">
        <v>2</v>
      </c>
      <c r="C2" s="3" t="s">
        <v>3</v>
      </c>
      <c r="D2" s="3" t="s">
        <v>4</v>
      </c>
      <c r="E2" s="3" t="s">
        <v>5</v>
      </c>
      <c r="F2" s="5" t="s">
        <v>12</v>
      </c>
      <c r="G2">
        <f>D4</f>
        <v>5</v>
      </c>
      <c r="H2">
        <v>9</v>
      </c>
      <c r="I2" s="3" t="s">
        <v>2</v>
      </c>
      <c r="J2" s="3" t="s">
        <v>3</v>
      </c>
      <c r="K2" s="3" t="s">
        <v>4</v>
      </c>
      <c r="L2" s="3" t="s">
        <v>5</v>
      </c>
      <c r="M2" s="5" t="s">
        <v>12</v>
      </c>
      <c r="N2">
        <f>K4</f>
        <v>4</v>
      </c>
      <c r="O2">
        <v>18</v>
      </c>
      <c r="P2" s="3" t="s">
        <v>2</v>
      </c>
      <c r="Q2" s="3" t="s">
        <v>3</v>
      </c>
      <c r="R2" s="3" t="s">
        <v>4</v>
      </c>
      <c r="S2" s="3" t="s">
        <v>5</v>
      </c>
      <c r="T2" s="5" t="s">
        <v>12</v>
      </c>
      <c r="U2">
        <f>R4</f>
        <v>5</v>
      </c>
      <c r="V2">
        <v>27</v>
      </c>
      <c r="W2" s="3" t="s">
        <v>2</v>
      </c>
      <c r="X2" s="3" t="s">
        <v>3</v>
      </c>
      <c r="Y2" s="3" t="s">
        <v>4</v>
      </c>
      <c r="Z2" s="3" t="s">
        <v>5</v>
      </c>
      <c r="AA2" s="5" t="s">
        <v>12</v>
      </c>
      <c r="AB2">
        <f>Y4</f>
        <v>5</v>
      </c>
    </row>
    <row r="3" spans="1:28" x14ac:dyDescent="0.25">
      <c r="B3" s="3" t="s">
        <v>3</v>
      </c>
      <c r="C3" s="3">
        <v>59</v>
      </c>
      <c r="D3" s="3">
        <v>12</v>
      </c>
      <c r="E3" s="3">
        <v>1</v>
      </c>
      <c r="F3" s="6" t="s">
        <v>13</v>
      </c>
      <c r="G3">
        <f>C4+E4</f>
        <v>29</v>
      </c>
      <c r="I3" s="3" t="s">
        <v>3</v>
      </c>
      <c r="J3" s="3">
        <v>60</v>
      </c>
      <c r="K3" s="3">
        <v>5</v>
      </c>
      <c r="L3" s="3">
        <v>7</v>
      </c>
      <c r="M3" s="6" t="s">
        <v>13</v>
      </c>
      <c r="N3">
        <f>J4+L4</f>
        <v>30</v>
      </c>
      <c r="P3" s="3" t="s">
        <v>3</v>
      </c>
      <c r="Q3" s="3">
        <v>63</v>
      </c>
      <c r="R3" s="3">
        <v>5</v>
      </c>
      <c r="S3" s="3">
        <v>4</v>
      </c>
      <c r="T3" s="6" t="s">
        <v>13</v>
      </c>
      <c r="U3">
        <f>Q4+S4</f>
        <v>29</v>
      </c>
      <c r="W3" s="3" t="s">
        <v>3</v>
      </c>
      <c r="X3" s="3">
        <v>64</v>
      </c>
      <c r="Y3" s="3">
        <v>7</v>
      </c>
      <c r="Z3" s="3">
        <v>1</v>
      </c>
      <c r="AA3" s="6" t="s">
        <v>13</v>
      </c>
      <c r="AB3">
        <f>X4+Z4</f>
        <v>29</v>
      </c>
    </row>
    <row r="4" spans="1:28" x14ac:dyDescent="0.25">
      <c r="B4" s="3" t="s">
        <v>4</v>
      </c>
      <c r="C4" s="3">
        <v>17</v>
      </c>
      <c r="D4" s="3">
        <v>5</v>
      </c>
      <c r="E4" s="3">
        <v>12</v>
      </c>
      <c r="F4" s="6" t="s">
        <v>14</v>
      </c>
      <c r="G4">
        <f>D3+D5</f>
        <v>13</v>
      </c>
      <c r="I4" s="3" t="s">
        <v>4</v>
      </c>
      <c r="J4" s="3">
        <v>13</v>
      </c>
      <c r="K4" s="3">
        <v>4</v>
      </c>
      <c r="L4" s="3">
        <v>17</v>
      </c>
      <c r="M4" s="6" t="s">
        <v>14</v>
      </c>
      <c r="N4">
        <f>K3+K5</f>
        <v>7</v>
      </c>
      <c r="P4" s="3" t="s">
        <v>4</v>
      </c>
      <c r="Q4" s="3">
        <v>14</v>
      </c>
      <c r="R4" s="3">
        <v>5</v>
      </c>
      <c r="S4" s="3">
        <v>15</v>
      </c>
      <c r="T4" s="6" t="s">
        <v>14</v>
      </c>
      <c r="U4">
        <f>R3+R5</f>
        <v>5</v>
      </c>
      <c r="W4" s="3" t="s">
        <v>4</v>
      </c>
      <c r="X4" s="3">
        <v>18</v>
      </c>
      <c r="Y4" s="3">
        <v>5</v>
      </c>
      <c r="Z4" s="3">
        <v>11</v>
      </c>
      <c r="AA4" s="6" t="s">
        <v>14</v>
      </c>
      <c r="AB4">
        <f>Y3+Y5</f>
        <v>8</v>
      </c>
    </row>
    <row r="5" spans="1:28" x14ac:dyDescent="0.25">
      <c r="B5" s="3" t="s">
        <v>5</v>
      </c>
      <c r="C5" s="3">
        <v>1</v>
      </c>
      <c r="D5" s="3">
        <v>1</v>
      </c>
      <c r="E5" s="3">
        <v>92</v>
      </c>
      <c r="F5" s="6" t="s">
        <v>11</v>
      </c>
      <c r="G5">
        <f>C3+E3+C5+E5</f>
        <v>153</v>
      </c>
      <c r="I5" s="3" t="s">
        <v>5</v>
      </c>
      <c r="J5" s="3">
        <v>1</v>
      </c>
      <c r="K5" s="3">
        <v>2</v>
      </c>
      <c r="L5" s="3">
        <v>91</v>
      </c>
      <c r="M5" s="6" t="s">
        <v>11</v>
      </c>
      <c r="N5">
        <f>J3+L3+J5+L5</f>
        <v>159</v>
      </c>
      <c r="P5" s="3" t="s">
        <v>5</v>
      </c>
      <c r="Q5" s="3">
        <v>2</v>
      </c>
      <c r="R5" s="3"/>
      <c r="S5" s="3">
        <v>92</v>
      </c>
      <c r="T5" s="6" t="s">
        <v>11</v>
      </c>
      <c r="U5">
        <f>Q3+S3+Q5+S5</f>
        <v>161</v>
      </c>
      <c r="W5" s="3" t="s">
        <v>5</v>
      </c>
      <c r="X5" s="3">
        <v>1</v>
      </c>
      <c r="Y5" s="3">
        <v>1</v>
      </c>
      <c r="Z5" s="3">
        <v>92</v>
      </c>
      <c r="AA5" s="6" t="s">
        <v>11</v>
      </c>
      <c r="AB5">
        <f>X3+Z3+X5+Z5</f>
        <v>158</v>
      </c>
    </row>
    <row r="7" spans="1:28" x14ac:dyDescent="0.25">
      <c r="A7">
        <v>1</v>
      </c>
      <c r="B7" s="3" t="s">
        <v>2</v>
      </c>
      <c r="C7" s="3" t="s">
        <v>3</v>
      </c>
      <c r="D7" s="3" t="s">
        <v>4</v>
      </c>
      <c r="E7" s="3" t="s">
        <v>5</v>
      </c>
      <c r="F7" s="5" t="s">
        <v>12</v>
      </c>
      <c r="G7">
        <f>D9</f>
        <v>0</v>
      </c>
      <c r="H7">
        <v>10</v>
      </c>
      <c r="I7" s="3" t="s">
        <v>2</v>
      </c>
      <c r="J7" s="3" t="s">
        <v>3</v>
      </c>
      <c r="K7" s="3" t="s">
        <v>4</v>
      </c>
      <c r="L7" s="3" t="s">
        <v>5</v>
      </c>
      <c r="M7" s="5" t="s">
        <v>12</v>
      </c>
      <c r="N7">
        <f>K9</f>
        <v>5</v>
      </c>
      <c r="O7">
        <v>19</v>
      </c>
      <c r="P7" s="3" t="s">
        <v>2</v>
      </c>
      <c r="Q7" s="3" t="s">
        <v>3</v>
      </c>
      <c r="R7" s="3" t="s">
        <v>4</v>
      </c>
      <c r="S7" s="3" t="s">
        <v>5</v>
      </c>
      <c r="T7" s="5" t="s">
        <v>12</v>
      </c>
      <c r="U7">
        <f>R9</f>
        <v>5</v>
      </c>
      <c r="V7">
        <v>28</v>
      </c>
      <c r="W7" s="3" t="s">
        <v>2</v>
      </c>
      <c r="X7" s="3" t="s">
        <v>3</v>
      </c>
      <c r="Y7" s="3" t="s">
        <v>4</v>
      </c>
      <c r="Z7" s="3" t="s">
        <v>5</v>
      </c>
      <c r="AA7" s="5" t="s">
        <v>12</v>
      </c>
      <c r="AB7">
        <f>Y9</f>
        <v>3</v>
      </c>
    </row>
    <row r="8" spans="1:28" x14ac:dyDescent="0.25">
      <c r="B8" s="3" t="s">
        <v>3</v>
      </c>
      <c r="C8" s="3">
        <v>68</v>
      </c>
      <c r="D8" s="3"/>
      <c r="E8" s="3">
        <v>4</v>
      </c>
      <c r="F8" s="6" t="s">
        <v>13</v>
      </c>
      <c r="G8">
        <f>C9+E9</f>
        <v>34</v>
      </c>
      <c r="I8" s="3" t="s">
        <v>3</v>
      </c>
      <c r="J8" s="3">
        <v>59</v>
      </c>
      <c r="K8" s="3">
        <v>6</v>
      </c>
      <c r="L8" s="3">
        <v>7</v>
      </c>
      <c r="M8" s="6" t="s">
        <v>13</v>
      </c>
      <c r="N8">
        <f>J9+L9</f>
        <v>29</v>
      </c>
      <c r="P8" s="3" t="s">
        <v>3</v>
      </c>
      <c r="Q8" s="3">
        <v>66</v>
      </c>
      <c r="R8" s="3">
        <v>5</v>
      </c>
      <c r="S8" s="3">
        <v>1</v>
      </c>
      <c r="T8" s="6" t="s">
        <v>13</v>
      </c>
      <c r="U8">
        <f>Q9+S9</f>
        <v>29</v>
      </c>
      <c r="W8" s="3" t="s">
        <v>3</v>
      </c>
      <c r="X8" s="3">
        <v>66</v>
      </c>
      <c r="Y8" s="3">
        <v>5</v>
      </c>
      <c r="Z8" s="3">
        <v>1</v>
      </c>
      <c r="AA8" s="6" t="s">
        <v>13</v>
      </c>
      <c r="AB8">
        <f>X9+Z9</f>
        <v>31</v>
      </c>
    </row>
    <row r="9" spans="1:28" x14ac:dyDescent="0.25">
      <c r="B9" s="3" t="s">
        <v>4</v>
      </c>
      <c r="C9" s="3">
        <v>22</v>
      </c>
      <c r="D9" s="3"/>
      <c r="E9" s="3">
        <v>12</v>
      </c>
      <c r="F9" s="6" t="s">
        <v>14</v>
      </c>
      <c r="G9">
        <f>D8+D10</f>
        <v>0</v>
      </c>
      <c r="I9" s="3" t="s">
        <v>4</v>
      </c>
      <c r="J9" s="3">
        <v>13</v>
      </c>
      <c r="K9" s="3">
        <v>5</v>
      </c>
      <c r="L9" s="3">
        <v>16</v>
      </c>
      <c r="M9" s="6" t="s">
        <v>14</v>
      </c>
      <c r="N9">
        <f>K8+K10</f>
        <v>8</v>
      </c>
      <c r="P9" s="3" t="s">
        <v>4</v>
      </c>
      <c r="Q9" s="3">
        <v>15</v>
      </c>
      <c r="R9" s="3">
        <v>5</v>
      </c>
      <c r="S9" s="3">
        <v>14</v>
      </c>
      <c r="T9" s="6" t="s">
        <v>14</v>
      </c>
      <c r="U9">
        <f>R8+R10</f>
        <v>5</v>
      </c>
      <c r="W9" s="3" t="s">
        <v>4</v>
      </c>
      <c r="X9" s="3">
        <v>20</v>
      </c>
      <c r="Y9" s="3">
        <v>3</v>
      </c>
      <c r="Z9" s="3">
        <v>11</v>
      </c>
      <c r="AA9" s="6" t="s">
        <v>14</v>
      </c>
      <c r="AB9">
        <f>Y8+Y10</f>
        <v>6</v>
      </c>
    </row>
    <row r="10" spans="1:28" x14ac:dyDescent="0.25">
      <c r="B10" s="3" t="s">
        <v>5</v>
      </c>
      <c r="C10" s="3">
        <v>4</v>
      </c>
      <c r="D10" s="3"/>
      <c r="E10" s="3">
        <v>90</v>
      </c>
      <c r="F10" s="6" t="s">
        <v>11</v>
      </c>
      <c r="G10">
        <f>C8+E8+C10+E10</f>
        <v>166</v>
      </c>
      <c r="I10" s="3" t="s">
        <v>5</v>
      </c>
      <c r="J10" s="3">
        <v>1</v>
      </c>
      <c r="K10" s="3">
        <v>2</v>
      </c>
      <c r="L10" s="3">
        <v>91</v>
      </c>
      <c r="M10" s="6" t="s">
        <v>11</v>
      </c>
      <c r="N10">
        <f>J8+L8+J10+L10</f>
        <v>158</v>
      </c>
      <c r="P10" s="3" t="s">
        <v>5</v>
      </c>
      <c r="Q10" s="3">
        <v>3</v>
      </c>
      <c r="R10" s="3"/>
      <c r="S10" s="3">
        <v>91</v>
      </c>
      <c r="T10" s="6" t="s">
        <v>11</v>
      </c>
      <c r="U10">
        <f>Q8+S8+Q10+S10</f>
        <v>161</v>
      </c>
      <c r="W10" s="3" t="s">
        <v>5</v>
      </c>
      <c r="X10" s="3">
        <v>1</v>
      </c>
      <c r="Y10" s="3">
        <v>1</v>
      </c>
      <c r="Z10" s="3">
        <v>92</v>
      </c>
      <c r="AA10" s="6" t="s">
        <v>11</v>
      </c>
      <c r="AB10">
        <f>X8+Z8+X10+Z10</f>
        <v>160</v>
      </c>
    </row>
    <row r="12" spans="1:28" x14ac:dyDescent="0.25">
      <c r="A12">
        <v>2</v>
      </c>
      <c r="B12" s="3" t="s">
        <v>2</v>
      </c>
      <c r="C12" s="3" t="s">
        <v>3</v>
      </c>
      <c r="D12" s="3" t="s">
        <v>4</v>
      </c>
      <c r="E12" s="3" t="s">
        <v>5</v>
      </c>
      <c r="F12" s="5" t="s">
        <v>12</v>
      </c>
      <c r="G12">
        <f>D14</f>
        <v>0</v>
      </c>
      <c r="H12">
        <v>11</v>
      </c>
      <c r="I12" s="3" t="s">
        <v>2</v>
      </c>
      <c r="J12" s="3" t="s">
        <v>3</v>
      </c>
      <c r="K12" s="3" t="s">
        <v>4</v>
      </c>
      <c r="L12" s="3" t="s">
        <v>5</v>
      </c>
      <c r="M12" s="5" t="s">
        <v>12</v>
      </c>
      <c r="N12">
        <f>K14</f>
        <v>4</v>
      </c>
      <c r="O12">
        <v>20</v>
      </c>
      <c r="P12" s="3" t="s">
        <v>2</v>
      </c>
      <c r="Q12" s="3" t="s">
        <v>3</v>
      </c>
      <c r="R12" s="3" t="s">
        <v>4</v>
      </c>
      <c r="S12" s="3" t="s">
        <v>5</v>
      </c>
      <c r="T12" s="5" t="s">
        <v>12</v>
      </c>
      <c r="U12">
        <f>R14</f>
        <v>6</v>
      </c>
    </row>
    <row r="13" spans="1:28" x14ac:dyDescent="0.25">
      <c r="B13" s="3" t="s">
        <v>3</v>
      </c>
      <c r="C13" s="3">
        <v>68</v>
      </c>
      <c r="D13" s="3"/>
      <c r="E13" s="3">
        <v>4</v>
      </c>
      <c r="F13" s="6" t="s">
        <v>13</v>
      </c>
      <c r="G13">
        <f>C14+E14</f>
        <v>34</v>
      </c>
      <c r="I13" s="3" t="s">
        <v>3</v>
      </c>
      <c r="J13" s="3">
        <v>61</v>
      </c>
      <c r="K13" s="3">
        <v>4</v>
      </c>
      <c r="L13" s="3">
        <v>7</v>
      </c>
      <c r="M13" s="6" t="s">
        <v>13</v>
      </c>
      <c r="N13">
        <f>J14+L14</f>
        <v>30</v>
      </c>
      <c r="P13" s="3" t="s">
        <v>3</v>
      </c>
      <c r="Q13" s="3">
        <v>61</v>
      </c>
      <c r="R13" s="3">
        <v>10</v>
      </c>
      <c r="S13" s="3">
        <v>1</v>
      </c>
      <c r="T13" s="6" t="s">
        <v>13</v>
      </c>
      <c r="U13">
        <f>Q14+S14</f>
        <v>28</v>
      </c>
    </row>
    <row r="14" spans="1:28" x14ac:dyDescent="0.25">
      <c r="B14" s="3" t="s">
        <v>4</v>
      </c>
      <c r="C14" s="3">
        <v>22</v>
      </c>
      <c r="D14" s="3"/>
      <c r="E14" s="3">
        <v>12</v>
      </c>
      <c r="F14" s="6" t="s">
        <v>14</v>
      </c>
      <c r="G14">
        <f>D13+D15</f>
        <v>0</v>
      </c>
      <c r="I14" s="3" t="s">
        <v>4</v>
      </c>
      <c r="J14" s="3">
        <v>13</v>
      </c>
      <c r="K14" s="3">
        <v>4</v>
      </c>
      <c r="L14" s="3">
        <v>17</v>
      </c>
      <c r="M14" s="6" t="s">
        <v>14</v>
      </c>
      <c r="N14">
        <f>K13+K15</f>
        <v>6</v>
      </c>
      <c r="P14" s="3" t="s">
        <v>4</v>
      </c>
      <c r="Q14" s="3">
        <v>15</v>
      </c>
      <c r="R14" s="3">
        <v>6</v>
      </c>
      <c r="S14" s="3">
        <v>13</v>
      </c>
      <c r="T14" s="6" t="s">
        <v>14</v>
      </c>
      <c r="U14">
        <f>R13+R15</f>
        <v>10</v>
      </c>
    </row>
    <row r="15" spans="1:28" x14ac:dyDescent="0.25">
      <c r="B15" s="3" t="s">
        <v>5</v>
      </c>
      <c r="C15" s="3">
        <v>4</v>
      </c>
      <c r="D15" s="3"/>
      <c r="E15" s="3">
        <v>90</v>
      </c>
      <c r="F15" s="6" t="s">
        <v>11</v>
      </c>
      <c r="G15">
        <f>C13+E13+C15+E15</f>
        <v>166</v>
      </c>
      <c r="I15" s="3" t="s">
        <v>5</v>
      </c>
      <c r="J15" s="3">
        <v>1</v>
      </c>
      <c r="K15" s="3">
        <v>2</v>
      </c>
      <c r="L15" s="3">
        <v>91</v>
      </c>
      <c r="M15" s="6" t="s">
        <v>11</v>
      </c>
      <c r="N15">
        <f>J13+L13+J15+L15</f>
        <v>160</v>
      </c>
      <c r="P15" s="3" t="s">
        <v>5</v>
      </c>
      <c r="Q15" s="3">
        <v>2</v>
      </c>
      <c r="R15" s="3"/>
      <c r="S15" s="3">
        <v>92</v>
      </c>
      <c r="T15" s="6" t="s">
        <v>11</v>
      </c>
      <c r="U15">
        <f>Q13+S13+Q15+S15</f>
        <v>156</v>
      </c>
    </row>
    <row r="17" spans="1:21" x14ac:dyDescent="0.25">
      <c r="A17">
        <v>3</v>
      </c>
      <c r="B17" s="3" t="s">
        <v>2</v>
      </c>
      <c r="C17" s="3" t="s">
        <v>3</v>
      </c>
      <c r="D17" s="3" t="s">
        <v>4</v>
      </c>
      <c r="E17" s="3" t="s">
        <v>5</v>
      </c>
      <c r="F17" s="5" t="s">
        <v>12</v>
      </c>
      <c r="G17">
        <f>D19</f>
        <v>0</v>
      </c>
      <c r="H17">
        <v>12</v>
      </c>
      <c r="I17" s="3" t="s">
        <v>2</v>
      </c>
      <c r="J17" s="3" t="s">
        <v>3</v>
      </c>
      <c r="K17" s="3" t="s">
        <v>4</v>
      </c>
      <c r="L17" s="3" t="s">
        <v>5</v>
      </c>
      <c r="M17" s="5" t="s">
        <v>12</v>
      </c>
      <c r="N17">
        <f>K19</f>
        <v>4</v>
      </c>
      <c r="O17">
        <v>21</v>
      </c>
      <c r="P17" s="3" t="s">
        <v>2</v>
      </c>
      <c r="Q17" s="3" t="s">
        <v>3</v>
      </c>
      <c r="R17" s="3" t="s">
        <v>4</v>
      </c>
      <c r="S17" s="3" t="s">
        <v>5</v>
      </c>
      <c r="T17" s="5" t="s">
        <v>12</v>
      </c>
      <c r="U17">
        <f>R19</f>
        <v>5</v>
      </c>
    </row>
    <row r="18" spans="1:21" x14ac:dyDescent="0.25">
      <c r="B18" s="3" t="s">
        <v>3</v>
      </c>
      <c r="C18" s="3">
        <v>68</v>
      </c>
      <c r="D18" s="3"/>
      <c r="E18" s="3">
        <v>4</v>
      </c>
      <c r="F18" s="6" t="s">
        <v>13</v>
      </c>
      <c r="G18">
        <f>C19+E19</f>
        <v>34</v>
      </c>
      <c r="I18" s="3" t="s">
        <v>3</v>
      </c>
      <c r="J18" s="3">
        <v>58</v>
      </c>
      <c r="K18" s="3">
        <v>7</v>
      </c>
      <c r="L18" s="3">
        <v>7</v>
      </c>
      <c r="M18" s="6" t="s">
        <v>13</v>
      </c>
      <c r="N18">
        <f>J19+L19</f>
        <v>30</v>
      </c>
      <c r="P18" s="3" t="s">
        <v>3</v>
      </c>
      <c r="Q18" s="3">
        <v>64</v>
      </c>
      <c r="R18" s="3">
        <v>7</v>
      </c>
      <c r="S18" s="3">
        <v>1</v>
      </c>
      <c r="T18" s="6" t="s">
        <v>13</v>
      </c>
      <c r="U18">
        <f>Q19+S19</f>
        <v>29</v>
      </c>
    </row>
    <row r="19" spans="1:21" x14ac:dyDescent="0.25">
      <c r="B19" s="3" t="s">
        <v>4</v>
      </c>
      <c r="C19" s="3">
        <v>22</v>
      </c>
      <c r="D19" s="3"/>
      <c r="E19" s="3">
        <v>12</v>
      </c>
      <c r="F19" s="6" t="s">
        <v>14</v>
      </c>
      <c r="G19">
        <f>D18+D20</f>
        <v>0</v>
      </c>
      <c r="I19" s="3" t="s">
        <v>4</v>
      </c>
      <c r="J19" s="3">
        <v>14</v>
      </c>
      <c r="K19" s="3">
        <v>4</v>
      </c>
      <c r="L19" s="3">
        <v>16</v>
      </c>
      <c r="M19" s="6" t="s">
        <v>14</v>
      </c>
      <c r="N19">
        <f>K18+K20</f>
        <v>9</v>
      </c>
      <c r="P19" s="3" t="s">
        <v>4</v>
      </c>
      <c r="Q19" s="3">
        <v>16</v>
      </c>
      <c r="R19" s="3">
        <v>5</v>
      </c>
      <c r="S19" s="3">
        <v>13</v>
      </c>
      <c r="T19" s="6" t="s">
        <v>14</v>
      </c>
      <c r="U19">
        <f>R18+R20</f>
        <v>7</v>
      </c>
    </row>
    <row r="20" spans="1:21" x14ac:dyDescent="0.25">
      <c r="B20" s="3" t="s">
        <v>5</v>
      </c>
      <c r="C20" s="3">
        <v>4</v>
      </c>
      <c r="D20" s="3"/>
      <c r="E20" s="3">
        <v>90</v>
      </c>
      <c r="F20" s="6" t="s">
        <v>11</v>
      </c>
      <c r="G20">
        <f>C18+E18+C20+E20</f>
        <v>166</v>
      </c>
      <c r="I20" s="3" t="s">
        <v>5</v>
      </c>
      <c r="J20" s="3">
        <v>1</v>
      </c>
      <c r="K20" s="3">
        <v>2</v>
      </c>
      <c r="L20" s="3">
        <v>91</v>
      </c>
      <c r="M20" s="6" t="s">
        <v>11</v>
      </c>
      <c r="N20">
        <f>J18+L18+J20+L20</f>
        <v>157</v>
      </c>
      <c r="P20" s="3" t="s">
        <v>5</v>
      </c>
      <c r="Q20" s="3">
        <v>1</v>
      </c>
      <c r="R20" s="3"/>
      <c r="S20" s="3">
        <v>93</v>
      </c>
      <c r="T20" s="6" t="s">
        <v>11</v>
      </c>
      <c r="U20">
        <f>Q18+S18+Q20+S20</f>
        <v>159</v>
      </c>
    </row>
    <row r="22" spans="1:21" x14ac:dyDescent="0.25">
      <c r="A22">
        <v>4</v>
      </c>
      <c r="B22" s="3" t="s">
        <v>2</v>
      </c>
      <c r="C22" s="3" t="s">
        <v>3</v>
      </c>
      <c r="D22" s="3" t="s">
        <v>4</v>
      </c>
      <c r="E22" s="3" t="s">
        <v>5</v>
      </c>
      <c r="F22" s="5" t="s">
        <v>12</v>
      </c>
      <c r="G22">
        <f>D24</f>
        <v>0</v>
      </c>
      <c r="H22">
        <v>13</v>
      </c>
      <c r="I22" s="3" t="s">
        <v>2</v>
      </c>
      <c r="J22" s="3" t="s">
        <v>3</v>
      </c>
      <c r="K22" s="3" t="s">
        <v>4</v>
      </c>
      <c r="L22" s="3" t="s">
        <v>5</v>
      </c>
      <c r="M22" s="5" t="s">
        <v>12</v>
      </c>
      <c r="N22">
        <f>K24</f>
        <v>6</v>
      </c>
      <c r="O22">
        <v>22</v>
      </c>
      <c r="P22" s="3" t="s">
        <v>2</v>
      </c>
      <c r="Q22" s="3" t="s">
        <v>3</v>
      </c>
      <c r="R22" s="3" t="s">
        <v>4</v>
      </c>
      <c r="S22" s="3" t="s">
        <v>5</v>
      </c>
      <c r="T22" s="5" t="s">
        <v>12</v>
      </c>
      <c r="U22">
        <f>R24</f>
        <v>4</v>
      </c>
    </row>
    <row r="23" spans="1:21" x14ac:dyDescent="0.25">
      <c r="B23" s="3" t="s">
        <v>3</v>
      </c>
      <c r="C23" s="3">
        <v>68</v>
      </c>
      <c r="D23" s="3"/>
      <c r="E23" s="3">
        <v>4</v>
      </c>
      <c r="F23" s="6" t="s">
        <v>13</v>
      </c>
      <c r="G23">
        <f>C24+E24</f>
        <v>34</v>
      </c>
      <c r="I23" s="3" t="s">
        <v>3</v>
      </c>
      <c r="J23" s="3">
        <v>56</v>
      </c>
      <c r="K23" s="3">
        <v>12</v>
      </c>
      <c r="L23" s="3">
        <v>4</v>
      </c>
      <c r="M23" s="6" t="s">
        <v>13</v>
      </c>
      <c r="N23">
        <f>J24+L24</f>
        <v>28</v>
      </c>
      <c r="P23" s="3" t="s">
        <v>3</v>
      </c>
      <c r="Q23" s="3">
        <v>63</v>
      </c>
      <c r="R23" s="3">
        <v>8</v>
      </c>
      <c r="S23" s="3">
        <v>1</v>
      </c>
      <c r="T23" s="6" t="s">
        <v>13</v>
      </c>
      <c r="U23">
        <f>Q24+S24</f>
        <v>30</v>
      </c>
    </row>
    <row r="24" spans="1:21" x14ac:dyDescent="0.25">
      <c r="B24" s="3" t="s">
        <v>4</v>
      </c>
      <c r="C24" s="3">
        <v>22</v>
      </c>
      <c r="D24" s="3"/>
      <c r="E24" s="3">
        <v>12</v>
      </c>
      <c r="F24" s="6" t="s">
        <v>14</v>
      </c>
      <c r="G24">
        <f>D23+D25</f>
        <v>0</v>
      </c>
      <c r="I24" s="3" t="s">
        <v>4</v>
      </c>
      <c r="J24" s="3">
        <v>13</v>
      </c>
      <c r="K24" s="3">
        <v>6</v>
      </c>
      <c r="L24" s="3">
        <v>15</v>
      </c>
      <c r="M24" s="6" t="s">
        <v>14</v>
      </c>
      <c r="N24">
        <f>K23+K25</f>
        <v>14</v>
      </c>
      <c r="P24" s="3" t="s">
        <v>4</v>
      </c>
      <c r="Q24" s="3">
        <v>17</v>
      </c>
      <c r="R24" s="3">
        <v>4</v>
      </c>
      <c r="S24" s="3">
        <v>13</v>
      </c>
      <c r="T24" s="6" t="s">
        <v>14</v>
      </c>
      <c r="U24">
        <f>R23+R25</f>
        <v>8</v>
      </c>
    </row>
    <row r="25" spans="1:21" x14ac:dyDescent="0.25">
      <c r="B25" s="3" t="s">
        <v>5</v>
      </c>
      <c r="C25" s="3">
        <v>4</v>
      </c>
      <c r="D25" s="3"/>
      <c r="E25" s="3">
        <v>90</v>
      </c>
      <c r="F25" s="6" t="s">
        <v>11</v>
      </c>
      <c r="G25">
        <f>C23+E23+C25+E25</f>
        <v>166</v>
      </c>
      <c r="I25" s="3" t="s">
        <v>5</v>
      </c>
      <c r="J25" s="3">
        <v>1</v>
      </c>
      <c r="K25" s="3">
        <v>2</v>
      </c>
      <c r="L25" s="3">
        <v>91</v>
      </c>
      <c r="M25" s="6" t="s">
        <v>11</v>
      </c>
      <c r="N25">
        <f>J23+L23+J25+L25</f>
        <v>152</v>
      </c>
      <c r="P25" s="3" t="s">
        <v>5</v>
      </c>
      <c r="Q25" s="3">
        <v>1</v>
      </c>
      <c r="R25" s="3"/>
      <c r="S25" s="3">
        <v>93</v>
      </c>
      <c r="T25" s="6" t="s">
        <v>11</v>
      </c>
      <c r="U25">
        <f>Q23+S23+Q25+S25</f>
        <v>158</v>
      </c>
    </row>
    <row r="27" spans="1:21" x14ac:dyDescent="0.25">
      <c r="A27">
        <v>5</v>
      </c>
      <c r="B27" s="3" t="s">
        <v>2</v>
      </c>
      <c r="C27" s="3" t="s">
        <v>3</v>
      </c>
      <c r="D27" s="3" t="s">
        <v>4</v>
      </c>
      <c r="E27" s="3" t="s">
        <v>5</v>
      </c>
      <c r="F27" s="5" t="s">
        <v>12</v>
      </c>
      <c r="G27">
        <f>D29</f>
        <v>1</v>
      </c>
      <c r="H27">
        <v>14</v>
      </c>
      <c r="I27" s="3" t="s">
        <v>2</v>
      </c>
      <c r="J27" s="3" t="s">
        <v>3</v>
      </c>
      <c r="K27" s="3" t="s">
        <v>4</v>
      </c>
      <c r="L27" s="3" t="s">
        <v>5</v>
      </c>
      <c r="M27" s="5" t="s">
        <v>12</v>
      </c>
      <c r="N27">
        <f>K29</f>
        <v>6</v>
      </c>
      <c r="O27">
        <v>23</v>
      </c>
      <c r="P27" s="3" t="s">
        <v>2</v>
      </c>
      <c r="Q27" s="3" t="s">
        <v>3</v>
      </c>
      <c r="R27" s="3" t="s">
        <v>4</v>
      </c>
      <c r="S27" s="3" t="s">
        <v>5</v>
      </c>
      <c r="T27" s="5" t="s">
        <v>12</v>
      </c>
      <c r="U27">
        <f>R29</f>
        <v>3</v>
      </c>
    </row>
    <row r="28" spans="1:21" x14ac:dyDescent="0.25">
      <c r="B28" s="3" t="s">
        <v>3</v>
      </c>
      <c r="C28" s="3">
        <v>65</v>
      </c>
      <c r="D28" s="3">
        <v>2</v>
      </c>
      <c r="E28" s="3">
        <v>5</v>
      </c>
      <c r="F28" s="6" t="s">
        <v>13</v>
      </c>
      <c r="G28">
        <f>C29+E29</f>
        <v>33</v>
      </c>
      <c r="I28" s="3" t="s">
        <v>3</v>
      </c>
      <c r="J28" s="3">
        <v>62</v>
      </c>
      <c r="K28" s="3">
        <v>6</v>
      </c>
      <c r="L28" s="3">
        <v>4</v>
      </c>
      <c r="M28" s="6" t="s">
        <v>13</v>
      </c>
      <c r="N28">
        <f>J29+L29</f>
        <v>28</v>
      </c>
      <c r="P28" s="3" t="s">
        <v>3</v>
      </c>
      <c r="Q28" s="3">
        <v>67</v>
      </c>
      <c r="R28" s="3">
        <v>4</v>
      </c>
      <c r="S28" s="3">
        <v>1</v>
      </c>
      <c r="T28" s="6" t="s">
        <v>13</v>
      </c>
      <c r="U28">
        <f>Q29+S29</f>
        <v>31</v>
      </c>
    </row>
    <row r="29" spans="1:21" x14ac:dyDescent="0.25">
      <c r="B29" s="3" t="s">
        <v>4</v>
      </c>
      <c r="C29" s="3">
        <v>20</v>
      </c>
      <c r="D29" s="3">
        <v>1</v>
      </c>
      <c r="E29" s="3">
        <v>13</v>
      </c>
      <c r="F29" s="6" t="s">
        <v>14</v>
      </c>
      <c r="G29">
        <f>D28+D30</f>
        <v>3</v>
      </c>
      <c r="I29" s="3" t="s">
        <v>4</v>
      </c>
      <c r="J29" s="3">
        <v>13</v>
      </c>
      <c r="K29" s="3">
        <v>6</v>
      </c>
      <c r="L29" s="3">
        <v>15</v>
      </c>
      <c r="M29" s="6" t="s">
        <v>14</v>
      </c>
      <c r="N29">
        <f>K28+K30</f>
        <v>8</v>
      </c>
      <c r="P29" s="3" t="s">
        <v>4</v>
      </c>
      <c r="Q29" s="3">
        <v>18</v>
      </c>
      <c r="R29" s="3">
        <v>3</v>
      </c>
      <c r="S29" s="3">
        <v>13</v>
      </c>
      <c r="T29" s="6" t="s">
        <v>14</v>
      </c>
      <c r="U29">
        <f>R28+R30</f>
        <v>4</v>
      </c>
    </row>
    <row r="30" spans="1:21" x14ac:dyDescent="0.25">
      <c r="B30" s="3" t="s">
        <v>5</v>
      </c>
      <c r="C30" s="3">
        <v>3</v>
      </c>
      <c r="D30" s="3">
        <v>1</v>
      </c>
      <c r="E30" s="3">
        <v>90</v>
      </c>
      <c r="F30" s="6" t="s">
        <v>11</v>
      </c>
      <c r="G30">
        <f>C28+E28+C30+E30</f>
        <v>163</v>
      </c>
      <c r="I30" s="3" t="s">
        <v>5</v>
      </c>
      <c r="J30" s="3"/>
      <c r="K30" s="3">
        <v>2</v>
      </c>
      <c r="L30" s="3">
        <v>92</v>
      </c>
      <c r="M30" s="6" t="s">
        <v>11</v>
      </c>
      <c r="N30">
        <f>J28+L28+J30+L30</f>
        <v>158</v>
      </c>
      <c r="P30" s="3" t="s">
        <v>5</v>
      </c>
      <c r="Q30" s="3">
        <v>1</v>
      </c>
      <c r="R30" s="3"/>
      <c r="S30" s="3">
        <v>93</v>
      </c>
      <c r="T30" s="6" t="s">
        <v>11</v>
      </c>
      <c r="U30">
        <f>Q28+S28+Q30+S30</f>
        <v>162</v>
      </c>
    </row>
    <row r="32" spans="1:21" x14ac:dyDescent="0.25">
      <c r="A32">
        <v>6</v>
      </c>
      <c r="B32" s="3" t="s">
        <v>2</v>
      </c>
      <c r="C32" s="3" t="s">
        <v>3</v>
      </c>
      <c r="D32" s="3" t="s">
        <v>4</v>
      </c>
      <c r="E32" s="3" t="s">
        <v>5</v>
      </c>
      <c r="F32" s="5" t="s">
        <v>12</v>
      </c>
      <c r="G32">
        <f>D34</f>
        <v>3</v>
      </c>
      <c r="H32">
        <v>15</v>
      </c>
      <c r="I32" s="3" t="s">
        <v>2</v>
      </c>
      <c r="J32" s="3" t="s">
        <v>3</v>
      </c>
      <c r="K32" s="3" t="s">
        <v>4</v>
      </c>
      <c r="L32" s="3" t="s">
        <v>5</v>
      </c>
      <c r="M32" s="5" t="s">
        <v>12</v>
      </c>
      <c r="N32">
        <f>K34</f>
        <v>4</v>
      </c>
      <c r="O32">
        <v>24</v>
      </c>
      <c r="P32" s="3" t="s">
        <v>2</v>
      </c>
      <c r="Q32" s="3" t="s">
        <v>3</v>
      </c>
      <c r="R32" s="3" t="s">
        <v>4</v>
      </c>
      <c r="S32" s="3" t="s">
        <v>5</v>
      </c>
      <c r="T32" s="5" t="s">
        <v>12</v>
      </c>
      <c r="U32">
        <f>R34</f>
        <v>5</v>
      </c>
    </row>
    <row r="33" spans="1:30" x14ac:dyDescent="0.25">
      <c r="B33" s="3" t="s">
        <v>3</v>
      </c>
      <c r="C33" s="3">
        <v>62</v>
      </c>
      <c r="D33" s="3">
        <v>6</v>
      </c>
      <c r="E33" s="3">
        <v>4</v>
      </c>
      <c r="F33" s="6" t="s">
        <v>13</v>
      </c>
      <c r="G33">
        <f>C34+E34</f>
        <v>31</v>
      </c>
      <c r="I33" s="3" t="s">
        <v>3</v>
      </c>
      <c r="J33" s="3">
        <v>62</v>
      </c>
      <c r="K33" s="3">
        <v>6</v>
      </c>
      <c r="L33" s="3">
        <v>4</v>
      </c>
      <c r="M33" s="6" t="s">
        <v>13</v>
      </c>
      <c r="N33">
        <f>J34+L34</f>
        <v>30</v>
      </c>
      <c r="P33" s="3" t="s">
        <v>3</v>
      </c>
      <c r="Q33" s="3">
        <v>63</v>
      </c>
      <c r="R33" s="3">
        <v>8</v>
      </c>
      <c r="S33" s="3">
        <v>1</v>
      </c>
      <c r="T33" s="6" t="s">
        <v>13</v>
      </c>
      <c r="U33">
        <f>Q34+S34</f>
        <v>29</v>
      </c>
    </row>
    <row r="34" spans="1:30" x14ac:dyDescent="0.25">
      <c r="B34" s="3" t="s">
        <v>4</v>
      </c>
      <c r="C34" s="3">
        <v>19</v>
      </c>
      <c r="D34" s="3">
        <v>3</v>
      </c>
      <c r="E34" s="3">
        <v>12</v>
      </c>
      <c r="F34" s="6" t="s">
        <v>14</v>
      </c>
      <c r="G34">
        <f>D33+D35</f>
        <v>7</v>
      </c>
      <c r="I34" s="3" t="s">
        <v>4</v>
      </c>
      <c r="J34" s="3">
        <v>15</v>
      </c>
      <c r="K34" s="3">
        <v>4</v>
      </c>
      <c r="L34" s="3">
        <v>15</v>
      </c>
      <c r="M34" s="6" t="s">
        <v>14</v>
      </c>
      <c r="N34">
        <f>K33+K35</f>
        <v>6</v>
      </c>
      <c r="P34" s="3" t="s">
        <v>4</v>
      </c>
      <c r="Q34" s="3">
        <v>17</v>
      </c>
      <c r="R34" s="3">
        <v>5</v>
      </c>
      <c r="S34" s="3">
        <v>12</v>
      </c>
      <c r="T34" s="6" t="s">
        <v>14</v>
      </c>
      <c r="U34">
        <f>R33+R35</f>
        <v>8</v>
      </c>
    </row>
    <row r="35" spans="1:30" x14ac:dyDescent="0.25">
      <c r="B35" s="3" t="s">
        <v>5</v>
      </c>
      <c r="C35" s="3">
        <v>3</v>
      </c>
      <c r="D35" s="3">
        <v>1</v>
      </c>
      <c r="E35" s="3">
        <v>90</v>
      </c>
      <c r="F35" s="6" t="s">
        <v>11</v>
      </c>
      <c r="G35">
        <f>C33+E33+C35+E35</f>
        <v>159</v>
      </c>
      <c r="I35" s="3" t="s">
        <v>5</v>
      </c>
      <c r="J35" s="3"/>
      <c r="K35" s="3"/>
      <c r="L35" s="3">
        <v>94</v>
      </c>
      <c r="M35" s="6" t="s">
        <v>11</v>
      </c>
      <c r="N35">
        <f>J33+L33+J35+L35</f>
        <v>160</v>
      </c>
      <c r="P35" s="3" t="s">
        <v>5</v>
      </c>
      <c r="Q35" s="3">
        <v>1</v>
      </c>
      <c r="R35" s="3"/>
      <c r="S35" s="3">
        <v>93</v>
      </c>
      <c r="T35" s="6" t="s">
        <v>11</v>
      </c>
      <c r="U35">
        <f>Q33+S33+Q35+S35</f>
        <v>158</v>
      </c>
    </row>
    <row r="37" spans="1:30" x14ac:dyDescent="0.25">
      <c r="A37">
        <v>7</v>
      </c>
      <c r="B37" s="3" t="s">
        <v>2</v>
      </c>
      <c r="C37" s="3" t="s">
        <v>3</v>
      </c>
      <c r="D37" s="3" t="s">
        <v>4</v>
      </c>
      <c r="E37" s="3" t="s">
        <v>5</v>
      </c>
      <c r="F37" s="5" t="s">
        <v>12</v>
      </c>
      <c r="G37">
        <f>D39</f>
        <v>3</v>
      </c>
      <c r="H37">
        <v>16</v>
      </c>
      <c r="I37" s="3" t="s">
        <v>2</v>
      </c>
      <c r="J37" s="3" t="s">
        <v>3</v>
      </c>
      <c r="K37" s="3" t="s">
        <v>4</v>
      </c>
      <c r="L37" s="3" t="s">
        <v>5</v>
      </c>
      <c r="M37" s="5" t="s">
        <v>12</v>
      </c>
      <c r="N37">
        <f>K39</f>
        <v>5</v>
      </c>
      <c r="O37">
        <v>25</v>
      </c>
      <c r="P37" s="3" t="s">
        <v>2</v>
      </c>
      <c r="Q37" s="3" t="s">
        <v>3</v>
      </c>
      <c r="R37" s="3" t="s">
        <v>4</v>
      </c>
      <c r="S37" s="3" t="s">
        <v>5</v>
      </c>
      <c r="T37" s="5" t="s">
        <v>12</v>
      </c>
      <c r="U37">
        <f>R39</f>
        <v>5</v>
      </c>
    </row>
    <row r="38" spans="1:30" x14ac:dyDescent="0.25">
      <c r="B38" s="3" t="s">
        <v>3</v>
      </c>
      <c r="C38" s="3">
        <v>62</v>
      </c>
      <c r="D38" s="3">
        <v>6</v>
      </c>
      <c r="E38" s="3">
        <v>4</v>
      </c>
      <c r="F38" s="6" t="s">
        <v>13</v>
      </c>
      <c r="G38">
        <f>C39+E39</f>
        <v>31</v>
      </c>
      <c r="I38" s="3" t="s">
        <v>3</v>
      </c>
      <c r="J38" s="3">
        <v>63</v>
      </c>
      <c r="K38" s="3">
        <v>5</v>
      </c>
      <c r="L38" s="3">
        <v>4</v>
      </c>
      <c r="M38" s="6" t="s">
        <v>13</v>
      </c>
      <c r="N38">
        <f>J39+L39</f>
        <v>29</v>
      </c>
      <c r="P38" s="3" t="s">
        <v>3</v>
      </c>
      <c r="Q38" s="3">
        <v>63</v>
      </c>
      <c r="R38" s="3">
        <v>8</v>
      </c>
      <c r="S38" s="3">
        <v>1</v>
      </c>
      <c r="T38" s="6" t="s">
        <v>13</v>
      </c>
      <c r="U38">
        <f>Q39+S39</f>
        <v>29</v>
      </c>
    </row>
    <row r="39" spans="1:30" x14ac:dyDescent="0.25">
      <c r="B39" s="3" t="s">
        <v>4</v>
      </c>
      <c r="C39" s="3">
        <v>18</v>
      </c>
      <c r="D39" s="3">
        <v>3</v>
      </c>
      <c r="E39" s="3">
        <v>13</v>
      </c>
      <c r="F39" s="6" t="s">
        <v>14</v>
      </c>
      <c r="G39">
        <f>D38+D40</f>
        <v>7</v>
      </c>
      <c r="I39" s="3" t="s">
        <v>4</v>
      </c>
      <c r="J39" s="3">
        <v>14</v>
      </c>
      <c r="K39" s="3">
        <v>5</v>
      </c>
      <c r="L39" s="3">
        <v>15</v>
      </c>
      <c r="M39" s="6" t="s">
        <v>14</v>
      </c>
      <c r="N39">
        <f>K38+K40</f>
        <v>5</v>
      </c>
      <c r="P39" s="3" t="s">
        <v>4</v>
      </c>
      <c r="Q39" s="3">
        <v>17</v>
      </c>
      <c r="R39" s="3">
        <v>5</v>
      </c>
      <c r="S39" s="3">
        <v>12</v>
      </c>
      <c r="T39" s="6" t="s">
        <v>14</v>
      </c>
      <c r="U39">
        <f>R38+R40</f>
        <v>8</v>
      </c>
    </row>
    <row r="40" spans="1:30" x14ac:dyDescent="0.25">
      <c r="B40" s="3" t="s">
        <v>5</v>
      </c>
      <c r="C40" s="3">
        <v>3</v>
      </c>
      <c r="D40" s="3">
        <v>1</v>
      </c>
      <c r="E40" s="3">
        <v>90</v>
      </c>
      <c r="F40" s="6" t="s">
        <v>11</v>
      </c>
      <c r="G40">
        <f>C38+E38+C40+E40</f>
        <v>159</v>
      </c>
      <c r="I40" s="3" t="s">
        <v>5</v>
      </c>
      <c r="J40" s="3">
        <v>1</v>
      </c>
      <c r="K40" s="3"/>
      <c r="L40" s="3">
        <v>93</v>
      </c>
      <c r="M40" s="6" t="s">
        <v>11</v>
      </c>
      <c r="N40">
        <f>J38+L38+J40+L40</f>
        <v>161</v>
      </c>
      <c r="P40" s="3" t="s">
        <v>5</v>
      </c>
      <c r="Q40" s="3">
        <v>1</v>
      </c>
      <c r="R40" s="3"/>
      <c r="S40" s="3">
        <v>93</v>
      </c>
      <c r="T40" s="6" t="s">
        <v>11</v>
      </c>
      <c r="U40">
        <f>Q38+S38+Q40+S40</f>
        <v>158</v>
      </c>
    </row>
    <row r="42" spans="1:30" x14ac:dyDescent="0.25">
      <c r="A42">
        <v>8</v>
      </c>
      <c r="B42" s="3" t="s">
        <v>2</v>
      </c>
      <c r="C42" s="3" t="s">
        <v>3</v>
      </c>
      <c r="D42" s="3" t="s">
        <v>4</v>
      </c>
      <c r="E42" s="3" t="s">
        <v>5</v>
      </c>
      <c r="F42" s="5" t="s">
        <v>12</v>
      </c>
      <c r="G42">
        <f>D44</f>
        <v>4</v>
      </c>
      <c r="H42">
        <v>17</v>
      </c>
      <c r="I42" s="3" t="s">
        <v>2</v>
      </c>
      <c r="J42" s="3" t="s">
        <v>3</v>
      </c>
      <c r="K42" s="3" t="s">
        <v>4</v>
      </c>
      <c r="L42" s="3" t="s">
        <v>5</v>
      </c>
      <c r="M42" s="5" t="s">
        <v>12</v>
      </c>
      <c r="N42">
        <f>K44</f>
        <v>4</v>
      </c>
      <c r="O42">
        <v>26</v>
      </c>
      <c r="P42" s="3" t="s">
        <v>2</v>
      </c>
      <c r="Q42" s="3" t="s">
        <v>3</v>
      </c>
      <c r="R42" s="3" t="s">
        <v>4</v>
      </c>
      <c r="S42" s="3" t="s">
        <v>5</v>
      </c>
      <c r="T42" s="5" t="s">
        <v>12</v>
      </c>
      <c r="U42">
        <f>R44</f>
        <v>3</v>
      </c>
    </row>
    <row r="43" spans="1:30" x14ac:dyDescent="0.25">
      <c r="B43" s="3" t="s">
        <v>3</v>
      </c>
      <c r="C43" s="3">
        <v>59</v>
      </c>
      <c r="D43" s="3">
        <v>9</v>
      </c>
      <c r="E43" s="3">
        <v>4</v>
      </c>
      <c r="F43" s="6" t="s">
        <v>13</v>
      </c>
      <c r="G43">
        <f>C44+E44</f>
        <v>30</v>
      </c>
      <c r="I43" s="3" t="s">
        <v>3</v>
      </c>
      <c r="J43" s="3">
        <v>63</v>
      </c>
      <c r="K43" s="3">
        <v>6</v>
      </c>
      <c r="L43" s="3">
        <v>3</v>
      </c>
      <c r="M43" s="6" t="s">
        <v>13</v>
      </c>
      <c r="N43">
        <f>J44+L44</f>
        <v>30</v>
      </c>
      <c r="P43" s="3" t="s">
        <v>3</v>
      </c>
      <c r="Q43" s="3">
        <v>67</v>
      </c>
      <c r="R43" s="3">
        <v>4</v>
      </c>
      <c r="S43" s="3">
        <v>1</v>
      </c>
      <c r="T43" s="6" t="s">
        <v>13</v>
      </c>
      <c r="U43">
        <f>Q44+S44</f>
        <v>31</v>
      </c>
    </row>
    <row r="44" spans="1:30" x14ac:dyDescent="0.25">
      <c r="B44" s="3" t="s">
        <v>4</v>
      </c>
      <c r="C44" s="3">
        <v>16</v>
      </c>
      <c r="D44" s="3">
        <v>4</v>
      </c>
      <c r="E44" s="3">
        <v>14</v>
      </c>
      <c r="F44" s="6" t="s">
        <v>14</v>
      </c>
      <c r="G44">
        <f>D43+D45</f>
        <v>10</v>
      </c>
      <c r="I44" s="3" t="s">
        <v>4</v>
      </c>
      <c r="J44" s="3">
        <v>15</v>
      </c>
      <c r="K44" s="3">
        <v>4</v>
      </c>
      <c r="L44" s="3">
        <v>15</v>
      </c>
      <c r="M44" s="6" t="s">
        <v>14</v>
      </c>
      <c r="N44">
        <f>K43+K45</f>
        <v>6</v>
      </c>
      <c r="P44" s="3" t="s">
        <v>4</v>
      </c>
      <c r="Q44" s="3">
        <v>19</v>
      </c>
      <c r="R44" s="3">
        <v>3</v>
      </c>
      <c r="S44" s="3">
        <v>12</v>
      </c>
      <c r="T44" s="6" t="s">
        <v>14</v>
      </c>
      <c r="U44">
        <f>R43+R45</f>
        <v>4</v>
      </c>
    </row>
    <row r="45" spans="1:30" x14ac:dyDescent="0.25">
      <c r="B45" s="3" t="s">
        <v>5</v>
      </c>
      <c r="C45" s="3">
        <v>3</v>
      </c>
      <c r="D45" s="3">
        <v>1</v>
      </c>
      <c r="E45" s="3">
        <v>90</v>
      </c>
      <c r="F45" s="6" t="s">
        <v>11</v>
      </c>
      <c r="G45">
        <f>C43+E43+C45+E45</f>
        <v>156</v>
      </c>
      <c r="I45" s="3" t="s">
        <v>5</v>
      </c>
      <c r="J45" s="3">
        <v>2</v>
      </c>
      <c r="K45" s="3"/>
      <c r="L45" s="3">
        <v>92</v>
      </c>
      <c r="M45" s="6" t="s">
        <v>11</v>
      </c>
      <c r="N45">
        <f>J43+L43+J45+L45</f>
        <v>160</v>
      </c>
      <c r="P45" s="3" t="s">
        <v>5</v>
      </c>
      <c r="Q45" s="3">
        <v>1</v>
      </c>
      <c r="R45" s="3"/>
      <c r="S45" s="3">
        <v>93</v>
      </c>
      <c r="T45" s="6" t="s">
        <v>11</v>
      </c>
      <c r="U45">
        <f>Q43+S43+Q45+S45</f>
        <v>162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4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0</v>
      </c>
      <c r="C48">
        <f>G12</f>
        <v>0</v>
      </c>
      <c r="D48">
        <f>G17</f>
        <v>0</v>
      </c>
      <c r="E48">
        <f>G22</f>
        <v>0</v>
      </c>
      <c r="F48" s="4">
        <f>G27</f>
        <v>1</v>
      </c>
      <c r="G48">
        <f>G32</f>
        <v>3</v>
      </c>
      <c r="H48">
        <f>G37</f>
        <v>3</v>
      </c>
      <c r="I48">
        <f>G42</f>
        <v>4</v>
      </c>
      <c r="J48">
        <f>N2</f>
        <v>4</v>
      </c>
      <c r="K48">
        <f>N7</f>
        <v>5</v>
      </c>
      <c r="L48">
        <f>N12</f>
        <v>4</v>
      </c>
      <c r="M48">
        <f>N17</f>
        <v>4</v>
      </c>
      <c r="N48">
        <f>N22</f>
        <v>6</v>
      </c>
      <c r="O48">
        <f>N27</f>
        <v>6</v>
      </c>
      <c r="P48">
        <f>N32</f>
        <v>4</v>
      </c>
      <c r="Q48">
        <f>N37</f>
        <v>5</v>
      </c>
      <c r="R48">
        <f>N42</f>
        <v>4</v>
      </c>
      <c r="S48">
        <f>U2</f>
        <v>5</v>
      </c>
      <c r="T48">
        <f>U7</f>
        <v>5</v>
      </c>
      <c r="U48">
        <f>U12</f>
        <v>6</v>
      </c>
      <c r="V48">
        <f>U17</f>
        <v>5</v>
      </c>
      <c r="W48">
        <f>U22</f>
        <v>4</v>
      </c>
      <c r="X48">
        <f>U27</f>
        <v>3</v>
      </c>
      <c r="Y48">
        <f>U32</f>
        <v>5</v>
      </c>
      <c r="Z48">
        <f>U37</f>
        <v>5</v>
      </c>
      <c r="AA48">
        <f>U42</f>
        <v>3</v>
      </c>
      <c r="AB48">
        <f>AB2</f>
        <v>5</v>
      </c>
      <c r="AC48">
        <f>AB7</f>
        <v>3</v>
      </c>
      <c r="AD48">
        <f>G2</f>
        <v>5</v>
      </c>
    </row>
    <row r="49" spans="1:30" x14ac:dyDescent="0.25">
      <c r="A49" t="s">
        <v>9</v>
      </c>
      <c r="B49">
        <f t="shared" ref="B49:B51" si="0">G8</f>
        <v>34</v>
      </c>
      <c r="C49">
        <f t="shared" ref="C49:C51" si="1">G13</f>
        <v>34</v>
      </c>
      <c r="D49">
        <f t="shared" ref="D49:D51" si="2">G18</f>
        <v>34</v>
      </c>
      <c r="E49">
        <f t="shared" ref="E49:E51" si="3">G23</f>
        <v>34</v>
      </c>
      <c r="F49" s="4">
        <f t="shared" ref="F49:F51" si="4">G28</f>
        <v>33</v>
      </c>
      <c r="G49">
        <f t="shared" ref="G49:G51" si="5">G33</f>
        <v>31</v>
      </c>
      <c r="H49">
        <f t="shared" ref="H49:H51" si="6">G38</f>
        <v>31</v>
      </c>
      <c r="I49">
        <f t="shared" ref="I49:I51" si="7">G43</f>
        <v>30</v>
      </c>
      <c r="J49">
        <f t="shared" ref="J49:J51" si="8">N3</f>
        <v>30</v>
      </c>
      <c r="K49">
        <f t="shared" ref="K49:K51" si="9">N8</f>
        <v>29</v>
      </c>
      <c r="L49">
        <f t="shared" ref="L49:L51" si="10">N13</f>
        <v>30</v>
      </c>
      <c r="M49">
        <f t="shared" ref="M49:M51" si="11">N18</f>
        <v>30</v>
      </c>
      <c r="N49">
        <f t="shared" ref="N49:N51" si="12">N23</f>
        <v>28</v>
      </c>
      <c r="O49">
        <f t="shared" ref="O49:O51" si="13">N28</f>
        <v>28</v>
      </c>
      <c r="P49">
        <f t="shared" ref="P49:P51" si="14">N33</f>
        <v>30</v>
      </c>
      <c r="Q49">
        <f t="shared" ref="Q49:Q51" si="15">N38</f>
        <v>29</v>
      </c>
      <c r="R49">
        <f t="shared" ref="R49:R51" si="16">N43</f>
        <v>30</v>
      </c>
      <c r="S49">
        <f t="shared" ref="S49:S51" si="17">U3</f>
        <v>29</v>
      </c>
      <c r="T49">
        <f t="shared" ref="T49:T51" si="18">U8</f>
        <v>29</v>
      </c>
      <c r="U49">
        <f t="shared" ref="U49:U51" si="19">U13</f>
        <v>28</v>
      </c>
      <c r="V49">
        <f t="shared" ref="V49:V51" si="20">U18</f>
        <v>29</v>
      </c>
      <c r="W49">
        <f t="shared" ref="W49:W51" si="21">U23</f>
        <v>30</v>
      </c>
      <c r="X49">
        <f t="shared" ref="X49:X51" si="22">U28</f>
        <v>31</v>
      </c>
      <c r="Y49">
        <f t="shared" ref="Y49:Y51" si="23">U33</f>
        <v>29</v>
      </c>
      <c r="Z49">
        <f t="shared" ref="Z49:Z50" si="24">U38</f>
        <v>29</v>
      </c>
      <c r="AA49">
        <f t="shared" ref="AA49:AA51" si="25">U43</f>
        <v>31</v>
      </c>
      <c r="AB49">
        <f t="shared" ref="AB49:AB51" si="26">AB3</f>
        <v>29</v>
      </c>
      <c r="AC49">
        <f t="shared" ref="AC49:AC51" si="27">AB8</f>
        <v>31</v>
      </c>
      <c r="AD49">
        <f t="shared" ref="AD49:AD51" si="28">G3</f>
        <v>29</v>
      </c>
    </row>
    <row r="50" spans="1:30" x14ac:dyDescent="0.25">
      <c r="A50" t="s">
        <v>10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  <c r="F50" s="4">
        <f t="shared" si="4"/>
        <v>3</v>
      </c>
      <c r="G50">
        <f t="shared" si="5"/>
        <v>7</v>
      </c>
      <c r="H50">
        <f t="shared" si="6"/>
        <v>7</v>
      </c>
      <c r="I50">
        <f t="shared" si="7"/>
        <v>10</v>
      </c>
      <c r="J50">
        <f t="shared" si="8"/>
        <v>7</v>
      </c>
      <c r="K50">
        <f t="shared" si="9"/>
        <v>8</v>
      </c>
      <c r="L50">
        <f t="shared" si="10"/>
        <v>6</v>
      </c>
      <c r="M50">
        <f t="shared" si="11"/>
        <v>9</v>
      </c>
      <c r="N50">
        <f t="shared" si="12"/>
        <v>14</v>
      </c>
      <c r="O50">
        <f t="shared" si="13"/>
        <v>8</v>
      </c>
      <c r="P50">
        <f t="shared" si="14"/>
        <v>6</v>
      </c>
      <c r="Q50">
        <f t="shared" si="15"/>
        <v>5</v>
      </c>
      <c r="R50">
        <f t="shared" si="16"/>
        <v>6</v>
      </c>
      <c r="S50">
        <f t="shared" si="17"/>
        <v>5</v>
      </c>
      <c r="T50">
        <f t="shared" si="18"/>
        <v>5</v>
      </c>
      <c r="U50">
        <f t="shared" si="19"/>
        <v>10</v>
      </c>
      <c r="V50">
        <f t="shared" si="20"/>
        <v>7</v>
      </c>
      <c r="W50">
        <f t="shared" si="21"/>
        <v>8</v>
      </c>
      <c r="X50">
        <f t="shared" si="22"/>
        <v>4</v>
      </c>
      <c r="Y50">
        <f t="shared" si="23"/>
        <v>8</v>
      </c>
      <c r="Z50">
        <f t="shared" si="24"/>
        <v>8</v>
      </c>
      <c r="AA50">
        <f t="shared" si="25"/>
        <v>4</v>
      </c>
      <c r="AB50">
        <f t="shared" si="26"/>
        <v>8</v>
      </c>
      <c r="AC50">
        <f t="shared" si="27"/>
        <v>6</v>
      </c>
      <c r="AD50">
        <f t="shared" si="28"/>
        <v>13</v>
      </c>
    </row>
    <row r="51" spans="1:30" x14ac:dyDescent="0.25">
      <c r="A51" t="s">
        <v>11</v>
      </c>
      <c r="B51">
        <f t="shared" si="0"/>
        <v>166</v>
      </c>
      <c r="C51">
        <f t="shared" si="1"/>
        <v>166</v>
      </c>
      <c r="D51">
        <f t="shared" si="2"/>
        <v>166</v>
      </c>
      <c r="E51">
        <f t="shared" si="3"/>
        <v>166</v>
      </c>
      <c r="F51" s="4">
        <f t="shared" si="4"/>
        <v>163</v>
      </c>
      <c r="G51">
        <f t="shared" si="5"/>
        <v>159</v>
      </c>
      <c r="H51">
        <f t="shared" si="6"/>
        <v>159</v>
      </c>
      <c r="I51">
        <f t="shared" si="7"/>
        <v>156</v>
      </c>
      <c r="J51">
        <f t="shared" si="8"/>
        <v>159</v>
      </c>
      <c r="K51">
        <f t="shared" si="9"/>
        <v>158</v>
      </c>
      <c r="L51">
        <f t="shared" si="10"/>
        <v>160</v>
      </c>
      <c r="M51">
        <f t="shared" si="11"/>
        <v>157</v>
      </c>
      <c r="N51">
        <f t="shared" si="12"/>
        <v>152</v>
      </c>
      <c r="O51">
        <f t="shared" si="13"/>
        <v>158</v>
      </c>
      <c r="P51">
        <f t="shared" si="14"/>
        <v>160</v>
      </c>
      <c r="Q51">
        <f t="shared" si="15"/>
        <v>161</v>
      </c>
      <c r="R51">
        <f t="shared" si="16"/>
        <v>160</v>
      </c>
      <c r="S51">
        <f t="shared" si="17"/>
        <v>161</v>
      </c>
      <c r="T51">
        <f t="shared" si="18"/>
        <v>161</v>
      </c>
      <c r="U51">
        <f t="shared" si="19"/>
        <v>156</v>
      </c>
      <c r="V51">
        <f t="shared" si="20"/>
        <v>159</v>
      </c>
      <c r="W51">
        <f t="shared" si="21"/>
        <v>158</v>
      </c>
      <c r="X51">
        <f t="shared" si="22"/>
        <v>162</v>
      </c>
      <c r="Y51">
        <f t="shared" si="23"/>
        <v>158</v>
      </c>
      <c r="Z51">
        <f>U40</f>
        <v>158</v>
      </c>
      <c r="AA51">
        <f t="shared" si="25"/>
        <v>162</v>
      </c>
      <c r="AB51">
        <f t="shared" si="26"/>
        <v>158</v>
      </c>
      <c r="AC51">
        <f t="shared" si="27"/>
        <v>160</v>
      </c>
      <c r="AD51">
        <f t="shared" si="28"/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2ABA-4DF0-4879-84E7-6EB686BCEC03}">
  <dimension ref="A2:AD51"/>
  <sheetViews>
    <sheetView zoomScale="70" zoomScaleNormal="70" workbookViewId="0">
      <selection activeCell="P58" sqref="P58"/>
    </sheetView>
  </sheetViews>
  <sheetFormatPr baseColWidth="10" defaultRowHeight="15" x14ac:dyDescent="0.25"/>
  <cols>
    <col min="2" max="2" width="12.85546875" bestFit="1" customWidth="1"/>
    <col min="6" max="6" width="15.42578125" style="4" customWidth="1"/>
  </cols>
  <sheetData>
    <row r="2" spans="1:28" x14ac:dyDescent="0.25">
      <c r="A2">
        <v>29</v>
      </c>
      <c r="B2" s="3" t="s">
        <v>2</v>
      </c>
      <c r="C2" s="3" t="s">
        <v>3</v>
      </c>
      <c r="D2" s="3" t="s">
        <v>4</v>
      </c>
      <c r="E2" s="3" t="s">
        <v>5</v>
      </c>
      <c r="F2" s="5" t="s">
        <v>15</v>
      </c>
      <c r="G2">
        <f>C3</f>
        <v>59</v>
      </c>
      <c r="H2">
        <v>9</v>
      </c>
      <c r="I2" s="3" t="s">
        <v>2</v>
      </c>
      <c r="J2" s="3" t="s">
        <v>3</v>
      </c>
      <c r="K2" s="3" t="s">
        <v>4</v>
      </c>
      <c r="L2" s="3" t="s">
        <v>5</v>
      </c>
      <c r="M2" s="5" t="s">
        <v>15</v>
      </c>
      <c r="N2">
        <f>J3</f>
        <v>60</v>
      </c>
      <c r="O2">
        <v>18</v>
      </c>
      <c r="P2" s="3" t="s">
        <v>2</v>
      </c>
      <c r="Q2" s="3" t="s">
        <v>3</v>
      </c>
      <c r="R2" s="3" t="s">
        <v>4</v>
      </c>
      <c r="S2" s="3" t="s">
        <v>5</v>
      </c>
      <c r="T2" s="5" t="s">
        <v>15</v>
      </c>
      <c r="U2">
        <f>Q3</f>
        <v>63</v>
      </c>
      <c r="V2">
        <v>27</v>
      </c>
      <c r="W2" s="3" t="s">
        <v>2</v>
      </c>
      <c r="X2" s="3" t="s">
        <v>3</v>
      </c>
      <c r="Y2" s="3" t="s">
        <v>4</v>
      </c>
      <c r="Z2" s="3" t="s">
        <v>5</v>
      </c>
      <c r="AA2" s="5" t="s">
        <v>15</v>
      </c>
      <c r="AB2">
        <f>X3</f>
        <v>64</v>
      </c>
    </row>
    <row r="3" spans="1:28" x14ac:dyDescent="0.25">
      <c r="B3" s="3" t="s">
        <v>3</v>
      </c>
      <c r="C3" s="3">
        <v>59</v>
      </c>
      <c r="D3" s="3">
        <v>12</v>
      </c>
      <c r="E3" s="3">
        <v>1</v>
      </c>
      <c r="F3" s="6" t="s">
        <v>16</v>
      </c>
      <c r="G3">
        <f>D3+E3</f>
        <v>13</v>
      </c>
      <c r="I3" s="3" t="s">
        <v>3</v>
      </c>
      <c r="J3" s="3">
        <v>60</v>
      </c>
      <c r="K3" s="3">
        <v>5</v>
      </c>
      <c r="L3" s="3">
        <v>7</v>
      </c>
      <c r="M3" s="6" t="s">
        <v>16</v>
      </c>
      <c r="N3">
        <f>K3+L3</f>
        <v>12</v>
      </c>
      <c r="P3" s="3" t="s">
        <v>3</v>
      </c>
      <c r="Q3" s="3">
        <v>63</v>
      </c>
      <c r="R3" s="3">
        <v>5</v>
      </c>
      <c r="S3" s="3">
        <v>4</v>
      </c>
      <c r="T3" s="6" t="s">
        <v>16</v>
      </c>
      <c r="U3">
        <f>R3+S3</f>
        <v>9</v>
      </c>
      <c r="W3" s="3" t="s">
        <v>3</v>
      </c>
      <c r="X3" s="3">
        <v>64</v>
      </c>
      <c r="Y3" s="3">
        <v>7</v>
      </c>
      <c r="Z3" s="3">
        <v>1</v>
      </c>
      <c r="AA3" s="6" t="s">
        <v>16</v>
      </c>
      <c r="AB3">
        <f>Y3+Z3</f>
        <v>8</v>
      </c>
    </row>
    <row r="4" spans="1:28" x14ac:dyDescent="0.25">
      <c r="B4" s="3" t="s">
        <v>4</v>
      </c>
      <c r="C4" s="3">
        <v>17</v>
      </c>
      <c r="D4" s="3">
        <v>5</v>
      </c>
      <c r="E4" s="3">
        <v>12</v>
      </c>
      <c r="F4" s="6" t="s">
        <v>17</v>
      </c>
      <c r="G4">
        <f>C4+C5</f>
        <v>18</v>
      </c>
      <c r="I4" s="3" t="s">
        <v>4</v>
      </c>
      <c r="J4" s="3">
        <v>13</v>
      </c>
      <c r="K4" s="3">
        <v>4</v>
      </c>
      <c r="L4" s="3">
        <v>17</v>
      </c>
      <c r="M4" s="6" t="s">
        <v>17</v>
      </c>
      <c r="N4">
        <f>J4+J5</f>
        <v>14</v>
      </c>
      <c r="P4" s="3" t="s">
        <v>4</v>
      </c>
      <c r="Q4" s="3">
        <v>14</v>
      </c>
      <c r="R4" s="3">
        <v>5</v>
      </c>
      <c r="S4" s="3">
        <v>15</v>
      </c>
      <c r="T4" s="6" t="s">
        <v>17</v>
      </c>
      <c r="U4">
        <f>Q4+Q5</f>
        <v>16</v>
      </c>
      <c r="W4" s="3" t="s">
        <v>4</v>
      </c>
      <c r="X4" s="3">
        <v>18</v>
      </c>
      <c r="Y4" s="3">
        <v>5</v>
      </c>
      <c r="Z4" s="3">
        <v>11</v>
      </c>
      <c r="AA4" s="6" t="s">
        <v>17</v>
      </c>
      <c r="AB4">
        <f>X4+X5</f>
        <v>19</v>
      </c>
    </row>
    <row r="5" spans="1:28" x14ac:dyDescent="0.25">
      <c r="B5" s="3" t="s">
        <v>5</v>
      </c>
      <c r="C5" s="3">
        <v>1</v>
      </c>
      <c r="D5" s="3">
        <v>1</v>
      </c>
      <c r="E5" s="3">
        <v>92</v>
      </c>
      <c r="F5" s="6" t="s">
        <v>11</v>
      </c>
      <c r="G5">
        <f>D4+E4+D5+E5</f>
        <v>110</v>
      </c>
      <c r="I5" s="3" t="s">
        <v>5</v>
      </c>
      <c r="J5" s="3">
        <v>1</v>
      </c>
      <c r="K5" s="3">
        <v>2</v>
      </c>
      <c r="L5" s="3">
        <v>91</v>
      </c>
      <c r="M5" s="6" t="s">
        <v>11</v>
      </c>
      <c r="N5">
        <f>K4+L4+K5+L5</f>
        <v>114</v>
      </c>
      <c r="P5" s="3" t="s">
        <v>5</v>
      </c>
      <c r="Q5" s="3">
        <v>2</v>
      </c>
      <c r="R5" s="3"/>
      <c r="S5" s="3">
        <v>92</v>
      </c>
      <c r="T5" s="6" t="s">
        <v>11</v>
      </c>
      <c r="U5">
        <f>R4+S4+R5+S5</f>
        <v>112</v>
      </c>
      <c r="W5" s="3" t="s">
        <v>5</v>
      </c>
      <c r="X5" s="3">
        <v>1</v>
      </c>
      <c r="Y5" s="3">
        <v>1</v>
      </c>
      <c r="Z5" s="3">
        <v>92</v>
      </c>
      <c r="AA5" s="6" t="s">
        <v>11</v>
      </c>
      <c r="AB5">
        <f>Y4+Z4+Y5+Z5</f>
        <v>109</v>
      </c>
    </row>
    <row r="7" spans="1:28" x14ac:dyDescent="0.25">
      <c r="A7">
        <v>1</v>
      </c>
      <c r="B7" s="3" t="s">
        <v>2</v>
      </c>
      <c r="C7" s="3" t="s">
        <v>3</v>
      </c>
      <c r="D7" s="3" t="s">
        <v>4</v>
      </c>
      <c r="E7" s="3" t="s">
        <v>5</v>
      </c>
      <c r="F7" s="5" t="s">
        <v>15</v>
      </c>
      <c r="G7">
        <f>C8</f>
        <v>68</v>
      </c>
      <c r="H7">
        <v>10</v>
      </c>
      <c r="I7" s="3" t="s">
        <v>2</v>
      </c>
      <c r="J7" s="3" t="s">
        <v>3</v>
      </c>
      <c r="K7" s="3" t="s">
        <v>4</v>
      </c>
      <c r="L7" s="3" t="s">
        <v>5</v>
      </c>
      <c r="M7" s="5" t="s">
        <v>15</v>
      </c>
      <c r="N7">
        <f>J8</f>
        <v>59</v>
      </c>
      <c r="O7">
        <v>19</v>
      </c>
      <c r="P7" s="3" t="s">
        <v>2</v>
      </c>
      <c r="Q7" s="3" t="s">
        <v>3</v>
      </c>
      <c r="R7" s="3" t="s">
        <v>4</v>
      </c>
      <c r="S7" s="3" t="s">
        <v>5</v>
      </c>
      <c r="T7" s="5" t="s">
        <v>15</v>
      </c>
      <c r="U7">
        <f>Q8</f>
        <v>66</v>
      </c>
      <c r="V7">
        <v>28</v>
      </c>
      <c r="W7" s="3" t="s">
        <v>2</v>
      </c>
      <c r="X7" s="3" t="s">
        <v>3</v>
      </c>
      <c r="Y7" s="3" t="s">
        <v>4</v>
      </c>
      <c r="Z7" s="3" t="s">
        <v>5</v>
      </c>
      <c r="AA7" s="5" t="s">
        <v>15</v>
      </c>
      <c r="AB7">
        <f>X8</f>
        <v>66</v>
      </c>
    </row>
    <row r="8" spans="1:28" x14ac:dyDescent="0.25">
      <c r="B8" s="3" t="s">
        <v>3</v>
      </c>
      <c r="C8" s="3">
        <v>68</v>
      </c>
      <c r="D8" s="3"/>
      <c r="E8" s="3">
        <v>4</v>
      </c>
      <c r="F8" s="6" t="s">
        <v>16</v>
      </c>
      <c r="G8">
        <f>D8+E8</f>
        <v>4</v>
      </c>
      <c r="I8" s="3" t="s">
        <v>3</v>
      </c>
      <c r="J8" s="3">
        <v>59</v>
      </c>
      <c r="K8" s="3">
        <v>6</v>
      </c>
      <c r="L8" s="3">
        <v>7</v>
      </c>
      <c r="M8" s="6" t="s">
        <v>16</v>
      </c>
      <c r="N8">
        <f>K8+L8</f>
        <v>13</v>
      </c>
      <c r="P8" s="3" t="s">
        <v>3</v>
      </c>
      <c r="Q8" s="3">
        <v>66</v>
      </c>
      <c r="R8" s="3">
        <v>5</v>
      </c>
      <c r="S8" s="3">
        <v>1</v>
      </c>
      <c r="T8" s="6" t="s">
        <v>16</v>
      </c>
      <c r="U8">
        <f>R8+S8</f>
        <v>6</v>
      </c>
      <c r="W8" s="3" t="s">
        <v>3</v>
      </c>
      <c r="X8" s="3">
        <v>66</v>
      </c>
      <c r="Y8" s="3">
        <v>5</v>
      </c>
      <c r="Z8" s="3">
        <v>1</v>
      </c>
      <c r="AA8" s="6" t="s">
        <v>16</v>
      </c>
      <c r="AB8">
        <f>Y8+Z8</f>
        <v>6</v>
      </c>
    </row>
    <row r="9" spans="1:28" x14ac:dyDescent="0.25">
      <c r="B9" s="3" t="s">
        <v>4</v>
      </c>
      <c r="C9" s="3">
        <v>22</v>
      </c>
      <c r="D9" s="3"/>
      <c r="E9" s="3">
        <v>12</v>
      </c>
      <c r="F9" s="6" t="s">
        <v>17</v>
      </c>
      <c r="G9">
        <f>C9+C10</f>
        <v>26</v>
      </c>
      <c r="I9" s="3" t="s">
        <v>4</v>
      </c>
      <c r="J9" s="3">
        <v>13</v>
      </c>
      <c r="K9" s="3">
        <v>5</v>
      </c>
      <c r="L9" s="3">
        <v>16</v>
      </c>
      <c r="M9" s="6" t="s">
        <v>17</v>
      </c>
      <c r="N9">
        <f>J9+J10</f>
        <v>14</v>
      </c>
      <c r="P9" s="3" t="s">
        <v>4</v>
      </c>
      <c r="Q9" s="3">
        <v>15</v>
      </c>
      <c r="R9" s="3">
        <v>5</v>
      </c>
      <c r="S9" s="3">
        <v>14</v>
      </c>
      <c r="T9" s="6" t="s">
        <v>17</v>
      </c>
      <c r="U9">
        <f>Q9+Q10</f>
        <v>18</v>
      </c>
      <c r="W9" s="3" t="s">
        <v>4</v>
      </c>
      <c r="X9" s="3">
        <v>20</v>
      </c>
      <c r="Y9" s="3">
        <v>3</v>
      </c>
      <c r="Z9" s="3">
        <v>11</v>
      </c>
      <c r="AA9" s="6" t="s">
        <v>17</v>
      </c>
      <c r="AB9">
        <f>X9+X10</f>
        <v>21</v>
      </c>
    </row>
    <row r="10" spans="1:28" x14ac:dyDescent="0.25">
      <c r="B10" s="3" t="s">
        <v>5</v>
      </c>
      <c r="C10" s="3">
        <v>4</v>
      </c>
      <c r="D10" s="3"/>
      <c r="E10" s="3">
        <v>90</v>
      </c>
      <c r="F10" s="6" t="s">
        <v>11</v>
      </c>
      <c r="G10">
        <f>D9+E9+D10+E10</f>
        <v>102</v>
      </c>
      <c r="I10" s="3" t="s">
        <v>5</v>
      </c>
      <c r="J10" s="3">
        <v>1</v>
      </c>
      <c r="K10" s="3">
        <v>2</v>
      </c>
      <c r="L10" s="3">
        <v>91</v>
      </c>
      <c r="M10" s="6" t="s">
        <v>11</v>
      </c>
      <c r="N10">
        <f>K9+L9+K10+L10</f>
        <v>114</v>
      </c>
      <c r="P10" s="3" t="s">
        <v>5</v>
      </c>
      <c r="Q10" s="3">
        <v>3</v>
      </c>
      <c r="R10" s="3"/>
      <c r="S10" s="3">
        <v>91</v>
      </c>
      <c r="T10" s="6" t="s">
        <v>11</v>
      </c>
      <c r="U10">
        <f>R9+S9+R10+S10</f>
        <v>110</v>
      </c>
      <c r="W10" s="3" t="s">
        <v>5</v>
      </c>
      <c r="X10" s="3">
        <v>1</v>
      </c>
      <c r="Y10" s="3">
        <v>1</v>
      </c>
      <c r="Z10" s="3">
        <v>92</v>
      </c>
      <c r="AA10" s="6" t="s">
        <v>11</v>
      </c>
      <c r="AB10">
        <f>Y9+Z9+Y10+Z10</f>
        <v>107</v>
      </c>
    </row>
    <row r="12" spans="1:28" x14ac:dyDescent="0.25">
      <c r="A12">
        <v>2</v>
      </c>
      <c r="B12" s="3" t="s">
        <v>2</v>
      </c>
      <c r="C12" s="3" t="s">
        <v>3</v>
      </c>
      <c r="D12" s="3" t="s">
        <v>4</v>
      </c>
      <c r="E12" s="3" t="s">
        <v>5</v>
      </c>
      <c r="F12" s="5" t="s">
        <v>15</v>
      </c>
      <c r="G12">
        <f>C13</f>
        <v>68</v>
      </c>
      <c r="H12">
        <v>11</v>
      </c>
      <c r="I12" s="3" t="s">
        <v>2</v>
      </c>
      <c r="J12" s="3" t="s">
        <v>3</v>
      </c>
      <c r="K12" s="3" t="s">
        <v>4</v>
      </c>
      <c r="L12" s="3" t="s">
        <v>5</v>
      </c>
      <c r="M12" s="5" t="s">
        <v>15</v>
      </c>
      <c r="N12">
        <f>J13</f>
        <v>61</v>
      </c>
      <c r="O12">
        <v>20</v>
      </c>
      <c r="P12" s="3" t="s">
        <v>2</v>
      </c>
      <c r="Q12" s="3" t="s">
        <v>3</v>
      </c>
      <c r="R12" s="3" t="s">
        <v>4</v>
      </c>
      <c r="S12" s="3" t="s">
        <v>5</v>
      </c>
      <c r="T12" s="5" t="s">
        <v>15</v>
      </c>
      <c r="U12">
        <f>Q13</f>
        <v>61</v>
      </c>
    </row>
    <row r="13" spans="1:28" x14ac:dyDescent="0.25">
      <c r="B13" s="3" t="s">
        <v>3</v>
      </c>
      <c r="C13" s="3">
        <v>68</v>
      </c>
      <c r="D13" s="3"/>
      <c r="E13" s="3">
        <v>4</v>
      </c>
      <c r="F13" s="6" t="s">
        <v>16</v>
      </c>
      <c r="G13">
        <f>D13+E13</f>
        <v>4</v>
      </c>
      <c r="I13" s="3" t="s">
        <v>3</v>
      </c>
      <c r="J13" s="3">
        <v>61</v>
      </c>
      <c r="K13" s="3">
        <v>4</v>
      </c>
      <c r="L13" s="3">
        <v>7</v>
      </c>
      <c r="M13" s="6" t="s">
        <v>16</v>
      </c>
      <c r="N13">
        <f>K13+L13</f>
        <v>11</v>
      </c>
      <c r="P13" s="3" t="s">
        <v>3</v>
      </c>
      <c r="Q13" s="3">
        <v>61</v>
      </c>
      <c r="R13" s="3">
        <v>10</v>
      </c>
      <c r="S13" s="3">
        <v>1</v>
      </c>
      <c r="T13" s="6" t="s">
        <v>16</v>
      </c>
      <c r="U13">
        <f>R13+S13</f>
        <v>11</v>
      </c>
    </row>
    <row r="14" spans="1:28" x14ac:dyDescent="0.25">
      <c r="B14" s="3" t="s">
        <v>4</v>
      </c>
      <c r="C14" s="3">
        <v>22</v>
      </c>
      <c r="D14" s="3"/>
      <c r="E14" s="3">
        <v>12</v>
      </c>
      <c r="F14" s="6" t="s">
        <v>17</v>
      </c>
      <c r="G14">
        <f>C14+C15</f>
        <v>26</v>
      </c>
      <c r="I14" s="3" t="s">
        <v>4</v>
      </c>
      <c r="J14" s="3">
        <v>13</v>
      </c>
      <c r="K14" s="3">
        <v>4</v>
      </c>
      <c r="L14" s="3">
        <v>17</v>
      </c>
      <c r="M14" s="6" t="s">
        <v>17</v>
      </c>
      <c r="N14">
        <f>J14+J15</f>
        <v>14</v>
      </c>
      <c r="P14" s="3" t="s">
        <v>4</v>
      </c>
      <c r="Q14" s="3">
        <v>15</v>
      </c>
      <c r="R14" s="3">
        <v>6</v>
      </c>
      <c r="S14" s="3">
        <v>13</v>
      </c>
      <c r="T14" s="6" t="s">
        <v>17</v>
      </c>
      <c r="U14">
        <f>Q14+Q15</f>
        <v>17</v>
      </c>
    </row>
    <row r="15" spans="1:28" x14ac:dyDescent="0.25">
      <c r="B15" s="3" t="s">
        <v>5</v>
      </c>
      <c r="C15" s="3">
        <v>4</v>
      </c>
      <c r="D15" s="3"/>
      <c r="E15" s="3">
        <v>90</v>
      </c>
      <c r="F15" s="6" t="s">
        <v>11</v>
      </c>
      <c r="G15">
        <f>D14+E14+D15+E15</f>
        <v>102</v>
      </c>
      <c r="I15" s="3" t="s">
        <v>5</v>
      </c>
      <c r="J15" s="3">
        <v>1</v>
      </c>
      <c r="K15" s="3">
        <v>2</v>
      </c>
      <c r="L15" s="3">
        <v>91</v>
      </c>
      <c r="M15" s="6" t="s">
        <v>11</v>
      </c>
      <c r="N15">
        <f>K14+L14+K15+L15</f>
        <v>114</v>
      </c>
      <c r="P15" s="3" t="s">
        <v>5</v>
      </c>
      <c r="Q15" s="3">
        <v>2</v>
      </c>
      <c r="R15" s="3"/>
      <c r="S15" s="3">
        <v>92</v>
      </c>
      <c r="T15" s="6" t="s">
        <v>11</v>
      </c>
      <c r="U15">
        <f>R14+S14+R15+S15</f>
        <v>111</v>
      </c>
    </row>
    <row r="17" spans="1:21" x14ac:dyDescent="0.25">
      <c r="A17">
        <v>3</v>
      </c>
      <c r="B17" s="3" t="s">
        <v>2</v>
      </c>
      <c r="C17" s="3" t="s">
        <v>3</v>
      </c>
      <c r="D17" s="3" t="s">
        <v>4</v>
      </c>
      <c r="E17" s="3" t="s">
        <v>5</v>
      </c>
      <c r="F17" s="5" t="s">
        <v>15</v>
      </c>
      <c r="G17">
        <f>C18</f>
        <v>68</v>
      </c>
      <c r="H17">
        <v>12</v>
      </c>
      <c r="I17" s="3" t="s">
        <v>2</v>
      </c>
      <c r="J17" s="3" t="s">
        <v>3</v>
      </c>
      <c r="K17" s="3" t="s">
        <v>4</v>
      </c>
      <c r="L17" s="3" t="s">
        <v>5</v>
      </c>
      <c r="M17" s="5" t="s">
        <v>15</v>
      </c>
      <c r="N17">
        <f>J18</f>
        <v>58</v>
      </c>
      <c r="O17">
        <v>21</v>
      </c>
      <c r="P17" s="3" t="s">
        <v>2</v>
      </c>
      <c r="Q17" s="3" t="s">
        <v>3</v>
      </c>
      <c r="R17" s="3" t="s">
        <v>4</v>
      </c>
      <c r="S17" s="3" t="s">
        <v>5</v>
      </c>
      <c r="T17" s="5" t="s">
        <v>15</v>
      </c>
      <c r="U17">
        <f>Q18</f>
        <v>64</v>
      </c>
    </row>
    <row r="18" spans="1:21" x14ac:dyDescent="0.25">
      <c r="B18" s="3" t="s">
        <v>3</v>
      </c>
      <c r="C18" s="3">
        <v>68</v>
      </c>
      <c r="D18" s="3"/>
      <c r="E18" s="3">
        <v>4</v>
      </c>
      <c r="F18" s="6" t="s">
        <v>16</v>
      </c>
      <c r="G18">
        <f>D18+E18</f>
        <v>4</v>
      </c>
      <c r="I18" s="3" t="s">
        <v>3</v>
      </c>
      <c r="J18" s="3">
        <v>58</v>
      </c>
      <c r="K18" s="3">
        <v>7</v>
      </c>
      <c r="L18" s="3">
        <v>7</v>
      </c>
      <c r="M18" s="6" t="s">
        <v>16</v>
      </c>
      <c r="N18">
        <f>K18+L18</f>
        <v>14</v>
      </c>
      <c r="P18" s="3" t="s">
        <v>3</v>
      </c>
      <c r="Q18" s="3">
        <v>64</v>
      </c>
      <c r="R18" s="3">
        <v>7</v>
      </c>
      <c r="S18" s="3">
        <v>1</v>
      </c>
      <c r="T18" s="6" t="s">
        <v>16</v>
      </c>
      <c r="U18">
        <f>R18+S18</f>
        <v>8</v>
      </c>
    </row>
    <row r="19" spans="1:21" x14ac:dyDescent="0.25">
      <c r="B19" s="3" t="s">
        <v>4</v>
      </c>
      <c r="C19" s="3">
        <v>22</v>
      </c>
      <c r="D19" s="3"/>
      <c r="E19" s="3">
        <v>12</v>
      </c>
      <c r="F19" s="6" t="s">
        <v>17</v>
      </c>
      <c r="G19">
        <f>C19+C20</f>
        <v>26</v>
      </c>
      <c r="I19" s="3" t="s">
        <v>4</v>
      </c>
      <c r="J19" s="3">
        <v>14</v>
      </c>
      <c r="K19" s="3">
        <v>4</v>
      </c>
      <c r="L19" s="3">
        <v>16</v>
      </c>
      <c r="M19" s="6" t="s">
        <v>17</v>
      </c>
      <c r="N19">
        <f>J19+J20</f>
        <v>15</v>
      </c>
      <c r="P19" s="3" t="s">
        <v>4</v>
      </c>
      <c r="Q19" s="3">
        <v>16</v>
      </c>
      <c r="R19" s="3">
        <v>5</v>
      </c>
      <c r="S19" s="3">
        <v>13</v>
      </c>
      <c r="T19" s="6" t="s">
        <v>17</v>
      </c>
      <c r="U19">
        <f>Q19+Q20</f>
        <v>17</v>
      </c>
    </row>
    <row r="20" spans="1:21" x14ac:dyDescent="0.25">
      <c r="B20" s="3" t="s">
        <v>5</v>
      </c>
      <c r="C20" s="3">
        <v>4</v>
      </c>
      <c r="D20" s="3"/>
      <c r="E20" s="3">
        <v>90</v>
      </c>
      <c r="F20" s="6" t="s">
        <v>11</v>
      </c>
      <c r="G20">
        <f>D19+E19+D20+E20</f>
        <v>102</v>
      </c>
      <c r="I20" s="3" t="s">
        <v>5</v>
      </c>
      <c r="J20" s="3">
        <v>1</v>
      </c>
      <c r="K20" s="3">
        <v>2</v>
      </c>
      <c r="L20" s="3">
        <v>91</v>
      </c>
      <c r="M20" s="6" t="s">
        <v>11</v>
      </c>
      <c r="N20">
        <f>K19+L19+K20+L20</f>
        <v>113</v>
      </c>
      <c r="P20" s="3" t="s">
        <v>5</v>
      </c>
      <c r="Q20" s="3">
        <v>1</v>
      </c>
      <c r="R20" s="3"/>
      <c r="S20" s="3">
        <v>93</v>
      </c>
      <c r="T20" s="6" t="s">
        <v>11</v>
      </c>
      <c r="U20">
        <f>R19+S19+R20+S20</f>
        <v>111</v>
      </c>
    </row>
    <row r="22" spans="1:21" x14ac:dyDescent="0.25">
      <c r="A22">
        <v>4</v>
      </c>
      <c r="B22" s="3" t="s">
        <v>2</v>
      </c>
      <c r="C22" s="3" t="s">
        <v>3</v>
      </c>
      <c r="D22" s="3" t="s">
        <v>4</v>
      </c>
      <c r="E22" s="3" t="s">
        <v>5</v>
      </c>
      <c r="F22" s="5" t="s">
        <v>15</v>
      </c>
      <c r="G22">
        <f>C23</f>
        <v>68</v>
      </c>
      <c r="H22">
        <v>13</v>
      </c>
      <c r="I22" s="3" t="s">
        <v>2</v>
      </c>
      <c r="J22" s="3" t="s">
        <v>3</v>
      </c>
      <c r="K22" s="3" t="s">
        <v>4</v>
      </c>
      <c r="L22" s="3" t="s">
        <v>5</v>
      </c>
      <c r="M22" s="5" t="s">
        <v>15</v>
      </c>
      <c r="N22">
        <f>J23</f>
        <v>56</v>
      </c>
      <c r="O22">
        <v>22</v>
      </c>
      <c r="P22" s="3" t="s">
        <v>2</v>
      </c>
      <c r="Q22" s="3" t="s">
        <v>3</v>
      </c>
      <c r="R22" s="3" t="s">
        <v>4</v>
      </c>
      <c r="S22" s="3" t="s">
        <v>5</v>
      </c>
      <c r="T22" s="5" t="s">
        <v>15</v>
      </c>
      <c r="U22">
        <f>Q23</f>
        <v>63</v>
      </c>
    </row>
    <row r="23" spans="1:21" x14ac:dyDescent="0.25">
      <c r="B23" s="3" t="s">
        <v>3</v>
      </c>
      <c r="C23" s="3">
        <v>68</v>
      </c>
      <c r="D23" s="3"/>
      <c r="E23" s="3">
        <v>4</v>
      </c>
      <c r="F23" s="6" t="s">
        <v>16</v>
      </c>
      <c r="G23">
        <f>D23+E23</f>
        <v>4</v>
      </c>
      <c r="I23" s="3" t="s">
        <v>3</v>
      </c>
      <c r="J23" s="3">
        <v>56</v>
      </c>
      <c r="K23" s="3">
        <v>12</v>
      </c>
      <c r="L23" s="3">
        <v>4</v>
      </c>
      <c r="M23" s="6" t="s">
        <v>16</v>
      </c>
      <c r="N23">
        <f>K23+L23</f>
        <v>16</v>
      </c>
      <c r="P23" s="3" t="s">
        <v>3</v>
      </c>
      <c r="Q23" s="3">
        <v>63</v>
      </c>
      <c r="R23" s="3">
        <v>8</v>
      </c>
      <c r="S23" s="3">
        <v>1</v>
      </c>
      <c r="T23" s="6" t="s">
        <v>16</v>
      </c>
      <c r="U23">
        <f>R23+S23</f>
        <v>9</v>
      </c>
    </row>
    <row r="24" spans="1:21" x14ac:dyDescent="0.25">
      <c r="B24" s="3" t="s">
        <v>4</v>
      </c>
      <c r="C24" s="3">
        <v>22</v>
      </c>
      <c r="D24" s="3"/>
      <c r="E24" s="3">
        <v>12</v>
      </c>
      <c r="F24" s="6" t="s">
        <v>17</v>
      </c>
      <c r="G24">
        <f>C24+C25</f>
        <v>26</v>
      </c>
      <c r="I24" s="3" t="s">
        <v>4</v>
      </c>
      <c r="J24" s="3">
        <v>13</v>
      </c>
      <c r="K24" s="3">
        <v>6</v>
      </c>
      <c r="L24" s="3">
        <v>15</v>
      </c>
      <c r="M24" s="6" t="s">
        <v>17</v>
      </c>
      <c r="N24">
        <f>J24+J25</f>
        <v>14</v>
      </c>
      <c r="P24" s="3" t="s">
        <v>4</v>
      </c>
      <c r="Q24" s="3">
        <v>17</v>
      </c>
      <c r="R24" s="3">
        <v>4</v>
      </c>
      <c r="S24" s="3">
        <v>13</v>
      </c>
      <c r="T24" s="6" t="s">
        <v>17</v>
      </c>
      <c r="U24">
        <f>Q24+Q25</f>
        <v>18</v>
      </c>
    </row>
    <row r="25" spans="1:21" x14ac:dyDescent="0.25">
      <c r="B25" s="3" t="s">
        <v>5</v>
      </c>
      <c r="C25" s="3">
        <v>4</v>
      </c>
      <c r="D25" s="3"/>
      <c r="E25" s="3">
        <v>90</v>
      </c>
      <c r="F25" s="6" t="s">
        <v>11</v>
      </c>
      <c r="G25">
        <f>D24+E24+D25+E25</f>
        <v>102</v>
      </c>
      <c r="I25" s="3" t="s">
        <v>5</v>
      </c>
      <c r="J25" s="3">
        <v>1</v>
      </c>
      <c r="K25" s="3">
        <v>2</v>
      </c>
      <c r="L25" s="3">
        <v>91</v>
      </c>
      <c r="M25" s="6" t="s">
        <v>11</v>
      </c>
      <c r="N25">
        <f>K24+L24+K25+L25</f>
        <v>114</v>
      </c>
      <c r="P25" s="3" t="s">
        <v>5</v>
      </c>
      <c r="Q25" s="3">
        <v>1</v>
      </c>
      <c r="R25" s="3"/>
      <c r="S25" s="3">
        <v>93</v>
      </c>
      <c r="T25" s="6" t="s">
        <v>11</v>
      </c>
      <c r="U25">
        <f>R24+S24+R25+S25</f>
        <v>110</v>
      </c>
    </row>
    <row r="27" spans="1:21" x14ac:dyDescent="0.25">
      <c r="A27">
        <v>5</v>
      </c>
      <c r="B27" s="3" t="s">
        <v>2</v>
      </c>
      <c r="C27" s="3" t="s">
        <v>3</v>
      </c>
      <c r="D27" s="3" t="s">
        <v>4</v>
      </c>
      <c r="E27" s="3" t="s">
        <v>5</v>
      </c>
      <c r="F27" s="5" t="s">
        <v>15</v>
      </c>
      <c r="G27">
        <f>C28</f>
        <v>65</v>
      </c>
      <c r="H27">
        <v>14</v>
      </c>
      <c r="I27" s="3" t="s">
        <v>2</v>
      </c>
      <c r="J27" s="3" t="s">
        <v>3</v>
      </c>
      <c r="K27" s="3" t="s">
        <v>4</v>
      </c>
      <c r="L27" s="3" t="s">
        <v>5</v>
      </c>
      <c r="M27" s="5" t="s">
        <v>15</v>
      </c>
      <c r="N27">
        <f>J28</f>
        <v>62</v>
      </c>
      <c r="O27">
        <v>23</v>
      </c>
      <c r="P27" s="3" t="s">
        <v>2</v>
      </c>
      <c r="Q27" s="3" t="s">
        <v>3</v>
      </c>
      <c r="R27" s="3" t="s">
        <v>4</v>
      </c>
      <c r="S27" s="3" t="s">
        <v>5</v>
      </c>
      <c r="T27" s="5" t="s">
        <v>15</v>
      </c>
      <c r="U27">
        <f>Q28</f>
        <v>67</v>
      </c>
    </row>
    <row r="28" spans="1:21" x14ac:dyDescent="0.25">
      <c r="B28" s="3" t="s">
        <v>3</v>
      </c>
      <c r="C28" s="3">
        <v>65</v>
      </c>
      <c r="D28" s="3">
        <v>2</v>
      </c>
      <c r="E28" s="3">
        <v>5</v>
      </c>
      <c r="F28" s="6" t="s">
        <v>16</v>
      </c>
      <c r="G28">
        <f>D28+E28</f>
        <v>7</v>
      </c>
      <c r="I28" s="3" t="s">
        <v>3</v>
      </c>
      <c r="J28" s="3">
        <v>62</v>
      </c>
      <c r="K28" s="3">
        <v>6</v>
      </c>
      <c r="L28" s="3">
        <v>4</v>
      </c>
      <c r="M28" s="6" t="s">
        <v>16</v>
      </c>
      <c r="N28">
        <f>K28+L28</f>
        <v>10</v>
      </c>
      <c r="P28" s="3" t="s">
        <v>3</v>
      </c>
      <c r="Q28" s="3">
        <v>67</v>
      </c>
      <c r="R28" s="3">
        <v>4</v>
      </c>
      <c r="S28" s="3">
        <v>1</v>
      </c>
      <c r="T28" s="6" t="s">
        <v>16</v>
      </c>
      <c r="U28">
        <f>R28+S28</f>
        <v>5</v>
      </c>
    </row>
    <row r="29" spans="1:21" x14ac:dyDescent="0.25">
      <c r="B29" s="3" t="s">
        <v>4</v>
      </c>
      <c r="C29" s="3">
        <v>20</v>
      </c>
      <c r="D29" s="3">
        <v>1</v>
      </c>
      <c r="E29" s="3">
        <v>13</v>
      </c>
      <c r="F29" s="6" t="s">
        <v>17</v>
      </c>
      <c r="G29">
        <f>C29+C30</f>
        <v>23</v>
      </c>
      <c r="I29" s="3" t="s">
        <v>4</v>
      </c>
      <c r="J29" s="3">
        <v>13</v>
      </c>
      <c r="K29" s="3">
        <v>6</v>
      </c>
      <c r="L29" s="3">
        <v>15</v>
      </c>
      <c r="M29" s="6" t="s">
        <v>17</v>
      </c>
      <c r="N29">
        <f>J29+J30</f>
        <v>13</v>
      </c>
      <c r="P29" s="3" t="s">
        <v>4</v>
      </c>
      <c r="Q29" s="3">
        <v>18</v>
      </c>
      <c r="R29" s="3">
        <v>3</v>
      </c>
      <c r="S29" s="3">
        <v>13</v>
      </c>
      <c r="T29" s="6" t="s">
        <v>17</v>
      </c>
      <c r="U29">
        <f>Q29+Q30</f>
        <v>19</v>
      </c>
    </row>
    <row r="30" spans="1:21" x14ac:dyDescent="0.25">
      <c r="B30" s="3" t="s">
        <v>5</v>
      </c>
      <c r="C30" s="3">
        <v>3</v>
      </c>
      <c r="D30" s="3">
        <v>1</v>
      </c>
      <c r="E30" s="3">
        <v>90</v>
      </c>
      <c r="F30" s="6" t="s">
        <v>11</v>
      </c>
      <c r="G30">
        <f>D29+E29+D30+E30</f>
        <v>105</v>
      </c>
      <c r="I30" s="3" t="s">
        <v>5</v>
      </c>
      <c r="J30" s="3"/>
      <c r="K30" s="3">
        <v>2</v>
      </c>
      <c r="L30" s="3">
        <v>92</v>
      </c>
      <c r="M30" s="6" t="s">
        <v>11</v>
      </c>
      <c r="N30">
        <f>K29+L29+K30+L30</f>
        <v>115</v>
      </c>
      <c r="P30" s="3" t="s">
        <v>5</v>
      </c>
      <c r="Q30" s="3">
        <v>1</v>
      </c>
      <c r="R30" s="3"/>
      <c r="S30" s="3">
        <v>93</v>
      </c>
      <c r="T30" s="6" t="s">
        <v>11</v>
      </c>
      <c r="U30">
        <f>R29+S29+R30+S30</f>
        <v>109</v>
      </c>
    </row>
    <row r="32" spans="1:21" x14ac:dyDescent="0.25">
      <c r="A32">
        <v>6</v>
      </c>
      <c r="B32" s="3" t="s">
        <v>2</v>
      </c>
      <c r="C32" s="3" t="s">
        <v>3</v>
      </c>
      <c r="D32" s="3" t="s">
        <v>4</v>
      </c>
      <c r="E32" s="3" t="s">
        <v>5</v>
      </c>
      <c r="F32" s="5" t="s">
        <v>15</v>
      </c>
      <c r="G32">
        <f>C33</f>
        <v>62</v>
      </c>
      <c r="H32">
        <v>15</v>
      </c>
      <c r="I32" s="3" t="s">
        <v>2</v>
      </c>
      <c r="J32" s="3" t="s">
        <v>3</v>
      </c>
      <c r="K32" s="3" t="s">
        <v>4</v>
      </c>
      <c r="L32" s="3" t="s">
        <v>5</v>
      </c>
      <c r="M32" s="5" t="s">
        <v>15</v>
      </c>
      <c r="N32">
        <f>J33</f>
        <v>62</v>
      </c>
      <c r="O32">
        <v>24</v>
      </c>
      <c r="P32" s="3" t="s">
        <v>2</v>
      </c>
      <c r="Q32" s="3" t="s">
        <v>3</v>
      </c>
      <c r="R32" s="3" t="s">
        <v>4</v>
      </c>
      <c r="S32" s="3" t="s">
        <v>5</v>
      </c>
      <c r="T32" s="5" t="s">
        <v>15</v>
      </c>
      <c r="U32">
        <f>Q33</f>
        <v>63</v>
      </c>
    </row>
    <row r="33" spans="1:30" x14ac:dyDescent="0.25">
      <c r="B33" s="3" t="s">
        <v>3</v>
      </c>
      <c r="C33" s="3">
        <v>62</v>
      </c>
      <c r="D33" s="3">
        <v>6</v>
      </c>
      <c r="E33" s="3">
        <v>4</v>
      </c>
      <c r="F33" s="6" t="s">
        <v>16</v>
      </c>
      <c r="G33">
        <f>D33+E33</f>
        <v>10</v>
      </c>
      <c r="I33" s="3" t="s">
        <v>3</v>
      </c>
      <c r="J33" s="3">
        <v>62</v>
      </c>
      <c r="K33" s="3">
        <v>6</v>
      </c>
      <c r="L33" s="3">
        <v>4</v>
      </c>
      <c r="M33" s="6" t="s">
        <v>16</v>
      </c>
      <c r="N33">
        <f>K33+L33</f>
        <v>10</v>
      </c>
      <c r="P33" s="3" t="s">
        <v>3</v>
      </c>
      <c r="Q33" s="3">
        <v>63</v>
      </c>
      <c r="R33" s="3">
        <v>8</v>
      </c>
      <c r="S33" s="3">
        <v>1</v>
      </c>
      <c r="T33" s="6" t="s">
        <v>16</v>
      </c>
      <c r="U33">
        <f>R33+S33</f>
        <v>9</v>
      </c>
    </row>
    <row r="34" spans="1:30" x14ac:dyDescent="0.25">
      <c r="B34" s="3" t="s">
        <v>4</v>
      </c>
      <c r="C34" s="3">
        <v>19</v>
      </c>
      <c r="D34" s="3">
        <v>3</v>
      </c>
      <c r="E34" s="3">
        <v>12</v>
      </c>
      <c r="F34" s="6" t="s">
        <v>17</v>
      </c>
      <c r="G34">
        <f>C34+C35</f>
        <v>22</v>
      </c>
      <c r="I34" s="3" t="s">
        <v>4</v>
      </c>
      <c r="J34" s="3">
        <v>15</v>
      </c>
      <c r="K34" s="3">
        <v>4</v>
      </c>
      <c r="L34" s="3">
        <v>15</v>
      </c>
      <c r="M34" s="6" t="s">
        <v>17</v>
      </c>
      <c r="N34">
        <f>J34+J35</f>
        <v>15</v>
      </c>
      <c r="P34" s="3" t="s">
        <v>4</v>
      </c>
      <c r="Q34" s="3">
        <v>17</v>
      </c>
      <c r="R34" s="3">
        <v>5</v>
      </c>
      <c r="S34" s="3">
        <v>12</v>
      </c>
      <c r="T34" s="6" t="s">
        <v>17</v>
      </c>
      <c r="U34">
        <f>Q34+Q35</f>
        <v>18</v>
      </c>
    </row>
    <row r="35" spans="1:30" x14ac:dyDescent="0.25">
      <c r="B35" s="3" t="s">
        <v>5</v>
      </c>
      <c r="C35" s="3">
        <v>3</v>
      </c>
      <c r="D35" s="3">
        <v>1</v>
      </c>
      <c r="E35" s="3">
        <v>90</v>
      </c>
      <c r="F35" s="6" t="s">
        <v>11</v>
      </c>
      <c r="G35">
        <f>D34+E34+D35+E35</f>
        <v>106</v>
      </c>
      <c r="I35" s="3" t="s">
        <v>5</v>
      </c>
      <c r="J35" s="3"/>
      <c r="K35" s="3"/>
      <c r="L35" s="3">
        <v>94</v>
      </c>
      <c r="M35" s="6" t="s">
        <v>11</v>
      </c>
      <c r="N35">
        <f>K34+L34+K35+L35</f>
        <v>113</v>
      </c>
      <c r="P35" s="3" t="s">
        <v>5</v>
      </c>
      <c r="Q35" s="3">
        <v>1</v>
      </c>
      <c r="R35" s="3"/>
      <c r="S35" s="3">
        <v>93</v>
      </c>
      <c r="T35" s="6" t="s">
        <v>11</v>
      </c>
      <c r="U35">
        <f>R34+S34+R35+S35</f>
        <v>110</v>
      </c>
    </row>
    <row r="37" spans="1:30" x14ac:dyDescent="0.25">
      <c r="A37">
        <v>7</v>
      </c>
      <c r="B37" s="3" t="s">
        <v>2</v>
      </c>
      <c r="C37" s="3" t="s">
        <v>3</v>
      </c>
      <c r="D37" s="3" t="s">
        <v>4</v>
      </c>
      <c r="E37" s="3" t="s">
        <v>5</v>
      </c>
      <c r="F37" s="5" t="s">
        <v>15</v>
      </c>
      <c r="G37">
        <f>C38</f>
        <v>62</v>
      </c>
      <c r="H37">
        <v>16</v>
      </c>
      <c r="I37" s="3" t="s">
        <v>2</v>
      </c>
      <c r="J37" s="3" t="s">
        <v>3</v>
      </c>
      <c r="K37" s="3" t="s">
        <v>4</v>
      </c>
      <c r="L37" s="3" t="s">
        <v>5</v>
      </c>
      <c r="M37" s="5" t="s">
        <v>15</v>
      </c>
      <c r="N37">
        <f>J38</f>
        <v>63</v>
      </c>
      <c r="O37">
        <v>25</v>
      </c>
      <c r="P37" s="3" t="s">
        <v>2</v>
      </c>
      <c r="Q37" s="3" t="s">
        <v>3</v>
      </c>
      <c r="R37" s="3" t="s">
        <v>4</v>
      </c>
      <c r="S37" s="3" t="s">
        <v>5</v>
      </c>
      <c r="T37" s="5" t="s">
        <v>15</v>
      </c>
      <c r="U37">
        <f>Q38</f>
        <v>63</v>
      </c>
    </row>
    <row r="38" spans="1:30" x14ac:dyDescent="0.25">
      <c r="B38" s="3" t="s">
        <v>3</v>
      </c>
      <c r="C38" s="3">
        <v>62</v>
      </c>
      <c r="D38" s="3">
        <v>6</v>
      </c>
      <c r="E38" s="3">
        <v>4</v>
      </c>
      <c r="F38" s="6" t="s">
        <v>16</v>
      </c>
      <c r="G38">
        <f>D38+E38</f>
        <v>10</v>
      </c>
      <c r="I38" s="3" t="s">
        <v>3</v>
      </c>
      <c r="J38" s="3">
        <v>63</v>
      </c>
      <c r="K38" s="3">
        <v>5</v>
      </c>
      <c r="L38" s="3">
        <v>4</v>
      </c>
      <c r="M38" s="6" t="s">
        <v>16</v>
      </c>
      <c r="N38">
        <f>K38+L38</f>
        <v>9</v>
      </c>
      <c r="P38" s="3" t="s">
        <v>3</v>
      </c>
      <c r="Q38" s="3">
        <v>63</v>
      </c>
      <c r="R38" s="3">
        <v>8</v>
      </c>
      <c r="S38" s="3">
        <v>1</v>
      </c>
      <c r="T38" s="6" t="s">
        <v>16</v>
      </c>
      <c r="U38">
        <f>R38+S38</f>
        <v>9</v>
      </c>
    </row>
    <row r="39" spans="1:30" x14ac:dyDescent="0.25">
      <c r="B39" s="3" t="s">
        <v>4</v>
      </c>
      <c r="C39" s="3">
        <v>18</v>
      </c>
      <c r="D39" s="3">
        <v>3</v>
      </c>
      <c r="E39" s="3">
        <v>13</v>
      </c>
      <c r="F39" s="6" t="s">
        <v>17</v>
      </c>
      <c r="G39">
        <f>C39+C40</f>
        <v>21</v>
      </c>
      <c r="I39" s="3" t="s">
        <v>4</v>
      </c>
      <c r="J39" s="3">
        <v>14</v>
      </c>
      <c r="K39" s="3">
        <v>5</v>
      </c>
      <c r="L39" s="3">
        <v>15</v>
      </c>
      <c r="M39" s="6" t="s">
        <v>17</v>
      </c>
      <c r="N39">
        <f>J39+J40</f>
        <v>15</v>
      </c>
      <c r="P39" s="3" t="s">
        <v>4</v>
      </c>
      <c r="Q39" s="3">
        <v>17</v>
      </c>
      <c r="R39" s="3">
        <v>5</v>
      </c>
      <c r="S39" s="3">
        <v>12</v>
      </c>
      <c r="T39" s="6" t="s">
        <v>17</v>
      </c>
      <c r="U39">
        <f>Q39+Q40</f>
        <v>18</v>
      </c>
    </row>
    <row r="40" spans="1:30" x14ac:dyDescent="0.25">
      <c r="B40" s="3" t="s">
        <v>5</v>
      </c>
      <c r="C40" s="3">
        <v>3</v>
      </c>
      <c r="D40" s="3">
        <v>1</v>
      </c>
      <c r="E40" s="3">
        <v>90</v>
      </c>
      <c r="F40" s="6" t="s">
        <v>11</v>
      </c>
      <c r="G40">
        <f>D39+E39+D40+E40</f>
        <v>107</v>
      </c>
      <c r="I40" s="3" t="s">
        <v>5</v>
      </c>
      <c r="J40" s="3">
        <v>1</v>
      </c>
      <c r="K40" s="3"/>
      <c r="L40" s="3">
        <v>93</v>
      </c>
      <c r="M40" s="6" t="s">
        <v>11</v>
      </c>
      <c r="N40">
        <f>K39+L39+K40+L40</f>
        <v>113</v>
      </c>
      <c r="P40" s="3" t="s">
        <v>5</v>
      </c>
      <c r="Q40" s="3">
        <v>1</v>
      </c>
      <c r="R40" s="3"/>
      <c r="S40" s="3">
        <v>93</v>
      </c>
      <c r="T40" s="6" t="s">
        <v>11</v>
      </c>
      <c r="U40">
        <f>R39+S39+R40+S40</f>
        <v>110</v>
      </c>
    </row>
    <row r="42" spans="1:30" x14ac:dyDescent="0.25">
      <c r="A42">
        <v>8</v>
      </c>
      <c r="B42" s="3" t="s">
        <v>2</v>
      </c>
      <c r="C42" s="3" t="s">
        <v>3</v>
      </c>
      <c r="D42" s="3" t="s">
        <v>4</v>
      </c>
      <c r="E42" s="3" t="s">
        <v>5</v>
      </c>
      <c r="F42" s="5" t="s">
        <v>15</v>
      </c>
      <c r="G42">
        <f>C43</f>
        <v>59</v>
      </c>
      <c r="H42">
        <v>17</v>
      </c>
      <c r="I42" s="3" t="s">
        <v>2</v>
      </c>
      <c r="J42" s="3" t="s">
        <v>3</v>
      </c>
      <c r="K42" s="3" t="s">
        <v>4</v>
      </c>
      <c r="L42" s="3" t="s">
        <v>5</v>
      </c>
      <c r="M42" s="5" t="s">
        <v>15</v>
      </c>
      <c r="N42">
        <f>J43</f>
        <v>63</v>
      </c>
      <c r="O42">
        <v>26</v>
      </c>
      <c r="P42" s="3" t="s">
        <v>2</v>
      </c>
      <c r="Q42" s="3" t="s">
        <v>3</v>
      </c>
      <c r="R42" s="3" t="s">
        <v>4</v>
      </c>
      <c r="S42" s="3" t="s">
        <v>5</v>
      </c>
      <c r="T42" s="5" t="s">
        <v>15</v>
      </c>
      <c r="U42">
        <f>Q43</f>
        <v>67</v>
      </c>
    </row>
    <row r="43" spans="1:30" x14ac:dyDescent="0.25">
      <c r="B43" s="3" t="s">
        <v>3</v>
      </c>
      <c r="C43" s="3">
        <v>59</v>
      </c>
      <c r="D43" s="3">
        <v>9</v>
      </c>
      <c r="E43" s="3">
        <v>4</v>
      </c>
      <c r="F43" s="6" t="s">
        <v>16</v>
      </c>
      <c r="G43">
        <f>D43+E43</f>
        <v>13</v>
      </c>
      <c r="I43" s="3" t="s">
        <v>3</v>
      </c>
      <c r="J43" s="3">
        <v>63</v>
      </c>
      <c r="K43" s="3">
        <v>6</v>
      </c>
      <c r="L43" s="3">
        <v>3</v>
      </c>
      <c r="M43" s="6" t="s">
        <v>16</v>
      </c>
      <c r="N43">
        <f>K43+L43</f>
        <v>9</v>
      </c>
      <c r="P43" s="3" t="s">
        <v>3</v>
      </c>
      <c r="Q43" s="3">
        <v>67</v>
      </c>
      <c r="R43" s="3">
        <v>4</v>
      </c>
      <c r="S43" s="3">
        <v>1</v>
      </c>
      <c r="T43" s="6" t="s">
        <v>16</v>
      </c>
      <c r="U43">
        <f>R43+S43</f>
        <v>5</v>
      </c>
    </row>
    <row r="44" spans="1:30" x14ac:dyDescent="0.25">
      <c r="B44" s="3" t="s">
        <v>4</v>
      </c>
      <c r="C44" s="3">
        <v>16</v>
      </c>
      <c r="D44" s="3">
        <v>4</v>
      </c>
      <c r="E44" s="3">
        <v>14</v>
      </c>
      <c r="F44" s="6" t="s">
        <v>17</v>
      </c>
      <c r="G44">
        <f>C44+C45</f>
        <v>19</v>
      </c>
      <c r="I44" s="3" t="s">
        <v>4</v>
      </c>
      <c r="J44" s="3">
        <v>15</v>
      </c>
      <c r="K44" s="3">
        <v>4</v>
      </c>
      <c r="L44" s="3">
        <v>15</v>
      </c>
      <c r="M44" s="6" t="s">
        <v>17</v>
      </c>
      <c r="N44">
        <f>J44+J45</f>
        <v>17</v>
      </c>
      <c r="P44" s="3" t="s">
        <v>4</v>
      </c>
      <c r="Q44" s="3">
        <v>19</v>
      </c>
      <c r="R44" s="3">
        <v>3</v>
      </c>
      <c r="S44" s="3">
        <v>12</v>
      </c>
      <c r="T44" s="6" t="s">
        <v>17</v>
      </c>
      <c r="U44">
        <f>Q44+Q45</f>
        <v>20</v>
      </c>
    </row>
    <row r="45" spans="1:30" x14ac:dyDescent="0.25">
      <c r="B45" s="3" t="s">
        <v>5</v>
      </c>
      <c r="C45" s="3">
        <v>3</v>
      </c>
      <c r="D45" s="3">
        <v>1</v>
      </c>
      <c r="E45" s="3">
        <v>90</v>
      </c>
      <c r="F45" s="6" t="s">
        <v>11</v>
      </c>
      <c r="G45">
        <f>D44+E44+D45+E45</f>
        <v>109</v>
      </c>
      <c r="I45" s="3" t="s">
        <v>5</v>
      </c>
      <c r="J45" s="3">
        <v>2</v>
      </c>
      <c r="K45" s="3"/>
      <c r="L45" s="3">
        <v>92</v>
      </c>
      <c r="M45" s="6" t="s">
        <v>11</v>
      </c>
      <c r="N45">
        <f>K44+L44+K45+L45</f>
        <v>111</v>
      </c>
      <c r="P45" s="3" t="s">
        <v>5</v>
      </c>
      <c r="Q45" s="3">
        <v>1</v>
      </c>
      <c r="R45" s="3"/>
      <c r="S45" s="3">
        <v>93</v>
      </c>
      <c r="T45" s="6" t="s">
        <v>11</v>
      </c>
      <c r="U45">
        <f>R44+S44+R45+S45</f>
        <v>108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4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68</v>
      </c>
      <c r="C48">
        <f>G12</f>
        <v>68</v>
      </c>
      <c r="D48">
        <f>G17</f>
        <v>68</v>
      </c>
      <c r="E48">
        <f>G22</f>
        <v>68</v>
      </c>
      <c r="F48" s="4">
        <f>G27</f>
        <v>65</v>
      </c>
      <c r="G48">
        <f>G32</f>
        <v>62</v>
      </c>
      <c r="H48">
        <f>G37</f>
        <v>62</v>
      </c>
      <c r="I48">
        <f>G42</f>
        <v>59</v>
      </c>
      <c r="J48">
        <f>N2</f>
        <v>60</v>
      </c>
      <c r="K48">
        <f>N7</f>
        <v>59</v>
      </c>
      <c r="L48">
        <f>N12</f>
        <v>61</v>
      </c>
      <c r="M48">
        <f>N17</f>
        <v>58</v>
      </c>
      <c r="N48">
        <f>N22</f>
        <v>56</v>
      </c>
      <c r="O48">
        <f>N27</f>
        <v>62</v>
      </c>
      <c r="P48">
        <f>N32</f>
        <v>62</v>
      </c>
      <c r="Q48">
        <f>N37</f>
        <v>63</v>
      </c>
      <c r="R48">
        <f>N42</f>
        <v>63</v>
      </c>
      <c r="S48">
        <f>U2</f>
        <v>63</v>
      </c>
      <c r="T48">
        <f>U7</f>
        <v>66</v>
      </c>
      <c r="U48">
        <f>U12</f>
        <v>61</v>
      </c>
      <c r="V48">
        <f>U17</f>
        <v>64</v>
      </c>
      <c r="W48">
        <f>U22</f>
        <v>63</v>
      </c>
      <c r="X48">
        <f>U27</f>
        <v>67</v>
      </c>
      <c r="Y48">
        <f>U32</f>
        <v>63</v>
      </c>
      <c r="Z48">
        <f>U37</f>
        <v>63</v>
      </c>
      <c r="AA48">
        <f>U42</f>
        <v>67</v>
      </c>
      <c r="AB48">
        <f>AB2</f>
        <v>64</v>
      </c>
      <c r="AC48">
        <f>AB7</f>
        <v>66</v>
      </c>
      <c r="AD48">
        <f>G2</f>
        <v>59</v>
      </c>
    </row>
    <row r="49" spans="1:30" x14ac:dyDescent="0.25">
      <c r="A49" t="s">
        <v>9</v>
      </c>
      <c r="B49">
        <f t="shared" ref="B49:B51" si="0">G8</f>
        <v>4</v>
      </c>
      <c r="C49">
        <f t="shared" ref="C49:C51" si="1">G13</f>
        <v>4</v>
      </c>
      <c r="D49">
        <f t="shared" ref="D49:D51" si="2">G18</f>
        <v>4</v>
      </c>
      <c r="E49">
        <f t="shared" ref="E49:E51" si="3">G23</f>
        <v>4</v>
      </c>
      <c r="F49" s="4">
        <f t="shared" ref="F49:F51" si="4">G28</f>
        <v>7</v>
      </c>
      <c r="G49">
        <f t="shared" ref="G49:G51" si="5">G33</f>
        <v>10</v>
      </c>
      <c r="H49">
        <f t="shared" ref="H49:H51" si="6">G38</f>
        <v>10</v>
      </c>
      <c r="I49">
        <f t="shared" ref="I49:I51" si="7">G43</f>
        <v>13</v>
      </c>
      <c r="J49">
        <f t="shared" ref="J49:J51" si="8">N3</f>
        <v>12</v>
      </c>
      <c r="K49">
        <f t="shared" ref="K49:K51" si="9">N8</f>
        <v>13</v>
      </c>
      <c r="L49">
        <f t="shared" ref="L49:L51" si="10">N13</f>
        <v>11</v>
      </c>
      <c r="M49">
        <f t="shared" ref="M49:M51" si="11">N18</f>
        <v>14</v>
      </c>
      <c r="N49">
        <f t="shared" ref="N49:N51" si="12">N23</f>
        <v>16</v>
      </c>
      <c r="O49">
        <f t="shared" ref="O49:O51" si="13">N28</f>
        <v>10</v>
      </c>
      <c r="P49">
        <f t="shared" ref="P49:P51" si="14">N33</f>
        <v>10</v>
      </c>
      <c r="Q49">
        <f t="shared" ref="Q49:Q51" si="15">N38</f>
        <v>9</v>
      </c>
      <c r="R49">
        <f t="shared" ref="R49:R51" si="16">N43</f>
        <v>9</v>
      </c>
      <c r="S49">
        <f t="shared" ref="S49:S51" si="17">U3</f>
        <v>9</v>
      </c>
      <c r="T49">
        <f t="shared" ref="T49:T51" si="18">U8</f>
        <v>6</v>
      </c>
      <c r="U49">
        <f t="shared" ref="U49:U51" si="19">U13</f>
        <v>11</v>
      </c>
      <c r="V49">
        <f t="shared" ref="V49:V51" si="20">U18</f>
        <v>8</v>
      </c>
      <c r="W49">
        <f t="shared" ref="W49:W51" si="21">U23</f>
        <v>9</v>
      </c>
      <c r="X49">
        <f t="shared" ref="X49:X51" si="22">U28</f>
        <v>5</v>
      </c>
      <c r="Y49">
        <f t="shared" ref="Y49:Y51" si="23">U33</f>
        <v>9</v>
      </c>
      <c r="Z49">
        <f t="shared" ref="Z49:Z50" si="24">U38</f>
        <v>9</v>
      </c>
      <c r="AA49">
        <f t="shared" ref="AA49:AA51" si="25">U43</f>
        <v>5</v>
      </c>
      <c r="AB49">
        <f t="shared" ref="AB49:AB51" si="26">AB3</f>
        <v>8</v>
      </c>
      <c r="AC49">
        <f t="shared" ref="AC49:AC51" si="27">AB8</f>
        <v>6</v>
      </c>
      <c r="AD49">
        <f t="shared" ref="AD49:AD51" si="28">G3</f>
        <v>13</v>
      </c>
    </row>
    <row r="50" spans="1:30" x14ac:dyDescent="0.25">
      <c r="A50" t="s">
        <v>10</v>
      </c>
      <c r="B50">
        <f t="shared" si="0"/>
        <v>26</v>
      </c>
      <c r="C50">
        <f t="shared" si="1"/>
        <v>26</v>
      </c>
      <c r="D50">
        <f t="shared" si="2"/>
        <v>26</v>
      </c>
      <c r="E50">
        <f t="shared" si="3"/>
        <v>26</v>
      </c>
      <c r="F50" s="4">
        <f t="shared" si="4"/>
        <v>23</v>
      </c>
      <c r="G50">
        <f t="shared" si="5"/>
        <v>22</v>
      </c>
      <c r="H50">
        <f t="shared" si="6"/>
        <v>21</v>
      </c>
      <c r="I50">
        <f t="shared" si="7"/>
        <v>19</v>
      </c>
      <c r="J50">
        <f t="shared" si="8"/>
        <v>14</v>
      </c>
      <c r="K50">
        <f t="shared" si="9"/>
        <v>14</v>
      </c>
      <c r="L50">
        <f t="shared" si="10"/>
        <v>14</v>
      </c>
      <c r="M50">
        <f t="shared" si="11"/>
        <v>15</v>
      </c>
      <c r="N50">
        <f t="shared" si="12"/>
        <v>14</v>
      </c>
      <c r="O50">
        <f t="shared" si="13"/>
        <v>13</v>
      </c>
      <c r="P50">
        <f t="shared" si="14"/>
        <v>15</v>
      </c>
      <c r="Q50">
        <f t="shared" si="15"/>
        <v>15</v>
      </c>
      <c r="R50">
        <f t="shared" si="16"/>
        <v>17</v>
      </c>
      <c r="S50">
        <f t="shared" si="17"/>
        <v>16</v>
      </c>
      <c r="T50">
        <f t="shared" si="18"/>
        <v>18</v>
      </c>
      <c r="U50">
        <f t="shared" si="19"/>
        <v>17</v>
      </c>
      <c r="V50">
        <f t="shared" si="20"/>
        <v>17</v>
      </c>
      <c r="W50">
        <f t="shared" si="21"/>
        <v>18</v>
      </c>
      <c r="X50">
        <f t="shared" si="22"/>
        <v>19</v>
      </c>
      <c r="Y50">
        <f t="shared" si="23"/>
        <v>18</v>
      </c>
      <c r="Z50">
        <f t="shared" si="24"/>
        <v>18</v>
      </c>
      <c r="AA50">
        <f t="shared" si="25"/>
        <v>20</v>
      </c>
      <c r="AB50">
        <f t="shared" si="26"/>
        <v>19</v>
      </c>
      <c r="AC50">
        <f t="shared" si="27"/>
        <v>21</v>
      </c>
      <c r="AD50">
        <f t="shared" si="28"/>
        <v>18</v>
      </c>
    </row>
    <row r="51" spans="1:30" x14ac:dyDescent="0.25">
      <c r="A51" t="s">
        <v>11</v>
      </c>
      <c r="B51">
        <f t="shared" si="0"/>
        <v>102</v>
      </c>
      <c r="C51">
        <f t="shared" si="1"/>
        <v>102</v>
      </c>
      <c r="D51">
        <f t="shared" si="2"/>
        <v>102</v>
      </c>
      <c r="E51">
        <f t="shared" si="3"/>
        <v>102</v>
      </c>
      <c r="F51" s="4">
        <f t="shared" si="4"/>
        <v>105</v>
      </c>
      <c r="G51">
        <f t="shared" si="5"/>
        <v>106</v>
      </c>
      <c r="H51">
        <f t="shared" si="6"/>
        <v>107</v>
      </c>
      <c r="I51">
        <f t="shared" si="7"/>
        <v>109</v>
      </c>
      <c r="J51">
        <f t="shared" si="8"/>
        <v>114</v>
      </c>
      <c r="K51">
        <f t="shared" si="9"/>
        <v>114</v>
      </c>
      <c r="L51">
        <f t="shared" si="10"/>
        <v>114</v>
      </c>
      <c r="M51">
        <f t="shared" si="11"/>
        <v>113</v>
      </c>
      <c r="N51">
        <f t="shared" si="12"/>
        <v>114</v>
      </c>
      <c r="O51">
        <f t="shared" si="13"/>
        <v>115</v>
      </c>
      <c r="P51">
        <f t="shared" si="14"/>
        <v>113</v>
      </c>
      <c r="Q51">
        <f t="shared" si="15"/>
        <v>113</v>
      </c>
      <c r="R51">
        <f t="shared" si="16"/>
        <v>111</v>
      </c>
      <c r="S51">
        <f t="shared" si="17"/>
        <v>112</v>
      </c>
      <c r="T51">
        <f t="shared" si="18"/>
        <v>110</v>
      </c>
      <c r="U51">
        <f t="shared" si="19"/>
        <v>111</v>
      </c>
      <c r="V51">
        <f t="shared" si="20"/>
        <v>111</v>
      </c>
      <c r="W51">
        <f t="shared" si="21"/>
        <v>110</v>
      </c>
      <c r="X51">
        <f t="shared" si="22"/>
        <v>109</v>
      </c>
      <c r="Y51">
        <f t="shared" si="23"/>
        <v>110</v>
      </c>
      <c r="Z51">
        <f>U40</f>
        <v>110</v>
      </c>
      <c r="AA51">
        <f t="shared" si="25"/>
        <v>108</v>
      </c>
      <c r="AB51">
        <f t="shared" si="26"/>
        <v>109</v>
      </c>
      <c r="AC51">
        <f t="shared" si="27"/>
        <v>107</v>
      </c>
      <c r="AD51">
        <f t="shared" si="28"/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36C1-3013-478B-B64C-350A9BF4BE98}">
  <dimension ref="A1:AF201"/>
  <sheetViews>
    <sheetView zoomScale="70" zoomScaleNormal="70" workbookViewId="0">
      <selection activeCell="L40" sqref="L40"/>
    </sheetView>
  </sheetViews>
  <sheetFormatPr baseColWidth="10" defaultRowHeight="15" x14ac:dyDescent="0.25"/>
  <cols>
    <col min="3" max="3" width="16.5703125" customWidth="1"/>
  </cols>
  <sheetData>
    <row r="1" spans="1:32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25">
      <c r="A2">
        <v>0</v>
      </c>
      <c r="B2">
        <v>3</v>
      </c>
      <c r="C2" t="s">
        <v>4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</row>
    <row r="3" spans="1:32" x14ac:dyDescent="0.25">
      <c r="A3">
        <v>1</v>
      </c>
      <c r="B3">
        <v>4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</row>
    <row r="4" spans="1:32" x14ac:dyDescent="0.25">
      <c r="A4">
        <v>2</v>
      </c>
      <c r="B4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</row>
    <row r="5" spans="1:32" x14ac:dyDescent="0.25">
      <c r="A5">
        <v>3</v>
      </c>
      <c r="B5">
        <v>12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</row>
    <row r="6" spans="1:32" x14ac:dyDescent="0.25">
      <c r="A6">
        <v>4</v>
      </c>
      <c r="B6">
        <v>13</v>
      </c>
      <c r="C6" t="s">
        <v>4</v>
      </c>
      <c r="D6" t="s">
        <v>3</v>
      </c>
      <c r="E6" t="s">
        <v>3</v>
      </c>
      <c r="F6" t="s">
        <v>3</v>
      </c>
      <c r="G6" t="s">
        <v>3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3</v>
      </c>
      <c r="AF6" t="s">
        <v>3</v>
      </c>
    </row>
    <row r="7" spans="1:32" x14ac:dyDescent="0.25">
      <c r="A7">
        <v>5</v>
      </c>
      <c r="B7">
        <v>25</v>
      </c>
      <c r="C7" t="s">
        <v>5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5</v>
      </c>
      <c r="S7" t="s">
        <v>5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</row>
    <row r="8" spans="1:32" x14ac:dyDescent="0.25">
      <c r="A8">
        <v>6</v>
      </c>
      <c r="B8">
        <v>40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</row>
    <row r="9" spans="1:32" x14ac:dyDescent="0.25">
      <c r="A9">
        <v>7</v>
      </c>
      <c r="B9">
        <v>55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</row>
    <row r="10" spans="1:32" x14ac:dyDescent="0.25">
      <c r="A10">
        <v>8</v>
      </c>
      <c r="B10">
        <v>60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</row>
    <row r="11" spans="1:32" x14ac:dyDescent="0.25">
      <c r="A11">
        <v>9</v>
      </c>
      <c r="B11">
        <v>70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5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</row>
    <row r="12" spans="1:32" x14ac:dyDescent="0.25">
      <c r="A12">
        <v>10</v>
      </c>
      <c r="B12">
        <v>72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</row>
    <row r="13" spans="1:32" x14ac:dyDescent="0.25">
      <c r="A13">
        <v>11</v>
      </c>
      <c r="B13">
        <v>85</v>
      </c>
      <c r="C13" t="s">
        <v>5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</row>
    <row r="14" spans="1:32" x14ac:dyDescent="0.25">
      <c r="A14">
        <v>12</v>
      </c>
      <c r="B14">
        <v>106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</row>
    <row r="15" spans="1:32" x14ac:dyDescent="0.25">
      <c r="A15">
        <v>13</v>
      </c>
      <c r="B15">
        <v>113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</row>
    <row r="16" spans="1:32" x14ac:dyDescent="0.25">
      <c r="A16">
        <v>14</v>
      </c>
      <c r="B16">
        <v>131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</row>
    <row r="17" spans="1:32" x14ac:dyDescent="0.25">
      <c r="A17">
        <v>15</v>
      </c>
      <c r="B17">
        <v>154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3</v>
      </c>
      <c r="AB17" t="s">
        <v>5</v>
      </c>
      <c r="AC17" t="s">
        <v>3</v>
      </c>
      <c r="AD17" t="s">
        <v>3</v>
      </c>
      <c r="AE17" t="s">
        <v>3</v>
      </c>
      <c r="AF17" t="s">
        <v>5</v>
      </c>
    </row>
    <row r="18" spans="1:32" x14ac:dyDescent="0.25">
      <c r="A18">
        <v>16</v>
      </c>
      <c r="B18">
        <v>161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</row>
    <row r="19" spans="1:32" x14ac:dyDescent="0.25">
      <c r="A19">
        <v>17</v>
      </c>
      <c r="B19">
        <v>172</v>
      </c>
      <c r="C19" t="s">
        <v>5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</row>
    <row r="20" spans="1:32" x14ac:dyDescent="0.25">
      <c r="A20">
        <v>18</v>
      </c>
      <c r="B20">
        <v>209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</row>
    <row r="21" spans="1:32" x14ac:dyDescent="0.25">
      <c r="A21">
        <v>19</v>
      </c>
      <c r="B21">
        <v>219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</row>
    <row r="22" spans="1:32" x14ac:dyDescent="0.25">
      <c r="A22">
        <v>20</v>
      </c>
      <c r="B22">
        <v>255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</row>
    <row r="23" spans="1:32" x14ac:dyDescent="0.25">
      <c r="A23">
        <v>21</v>
      </c>
      <c r="B23">
        <v>266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</row>
    <row r="24" spans="1:32" x14ac:dyDescent="0.25">
      <c r="A24">
        <v>22</v>
      </c>
      <c r="B24">
        <v>273</v>
      </c>
      <c r="C24" t="s">
        <v>4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</row>
    <row r="25" spans="1:32" x14ac:dyDescent="0.25">
      <c r="A25">
        <v>23</v>
      </c>
      <c r="B25">
        <v>306</v>
      </c>
      <c r="C25" t="s">
        <v>4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</row>
    <row r="26" spans="1:32" x14ac:dyDescent="0.25">
      <c r="A26">
        <v>24</v>
      </c>
      <c r="B26">
        <v>317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</row>
    <row r="27" spans="1:32" x14ac:dyDescent="0.25">
      <c r="A27">
        <v>25</v>
      </c>
      <c r="B27">
        <v>327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</row>
    <row r="28" spans="1:32" x14ac:dyDescent="0.25">
      <c r="A28">
        <v>26</v>
      </c>
      <c r="B28">
        <v>330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5</v>
      </c>
      <c r="M28" t="s">
        <v>5</v>
      </c>
      <c r="N28" t="s">
        <v>5</v>
      </c>
      <c r="O28" t="s">
        <v>5</v>
      </c>
      <c r="P28" t="s">
        <v>4</v>
      </c>
      <c r="Q28" t="s">
        <v>4</v>
      </c>
      <c r="R28" t="s">
        <v>5</v>
      </c>
      <c r="S28" t="s">
        <v>5</v>
      </c>
      <c r="T28" t="s">
        <v>5</v>
      </c>
      <c r="U28" t="s">
        <v>5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</row>
    <row r="29" spans="1:32" x14ac:dyDescent="0.25">
      <c r="A29">
        <v>27</v>
      </c>
      <c r="B29">
        <v>355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</row>
    <row r="30" spans="1:32" x14ac:dyDescent="0.25">
      <c r="A30">
        <v>28</v>
      </c>
      <c r="B30">
        <v>368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</row>
    <row r="31" spans="1:32" x14ac:dyDescent="0.25">
      <c r="A31">
        <v>29</v>
      </c>
      <c r="B31">
        <v>381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3</v>
      </c>
      <c r="T31" t="s">
        <v>4</v>
      </c>
      <c r="U31" t="s">
        <v>3</v>
      </c>
      <c r="V31" t="s">
        <v>4</v>
      </c>
      <c r="W31" t="s">
        <v>4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4</v>
      </c>
      <c r="AE31" t="s">
        <v>3</v>
      </c>
      <c r="AF31" t="s">
        <v>4</v>
      </c>
    </row>
    <row r="32" spans="1:32" x14ac:dyDescent="0.25">
      <c r="A32">
        <v>30</v>
      </c>
      <c r="B32">
        <v>411</v>
      </c>
      <c r="C32" t="s">
        <v>4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5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</row>
    <row r="33" spans="1:32" x14ac:dyDescent="0.25">
      <c r="A33">
        <v>31</v>
      </c>
      <c r="B33">
        <v>413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</row>
    <row r="34" spans="1:32" x14ac:dyDescent="0.25">
      <c r="A34">
        <v>32</v>
      </c>
      <c r="B34">
        <v>425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</row>
    <row r="35" spans="1:32" x14ac:dyDescent="0.25">
      <c r="A35">
        <v>33</v>
      </c>
      <c r="B35">
        <v>456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</row>
    <row r="36" spans="1:32" x14ac:dyDescent="0.25">
      <c r="A36">
        <v>34</v>
      </c>
      <c r="B36">
        <v>463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</row>
    <row r="37" spans="1:32" x14ac:dyDescent="0.25">
      <c r="A37">
        <v>35</v>
      </c>
      <c r="B37">
        <v>470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</row>
    <row r="38" spans="1:32" x14ac:dyDescent="0.25">
      <c r="A38">
        <v>36</v>
      </c>
      <c r="B38">
        <v>504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</row>
    <row r="39" spans="1:32" x14ac:dyDescent="0.25">
      <c r="A39">
        <v>37</v>
      </c>
      <c r="B39">
        <v>510</v>
      </c>
      <c r="C39" t="s">
        <v>5</v>
      </c>
      <c r="D39" t="s">
        <v>3</v>
      </c>
      <c r="E39" t="s">
        <v>3</v>
      </c>
      <c r="F39" t="s">
        <v>3</v>
      </c>
      <c r="G39" t="s">
        <v>3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</row>
    <row r="40" spans="1:32" x14ac:dyDescent="0.25">
      <c r="A40">
        <v>38</v>
      </c>
      <c r="B40">
        <v>532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</row>
    <row r="41" spans="1:32" x14ac:dyDescent="0.25">
      <c r="A41">
        <v>39</v>
      </c>
      <c r="B41">
        <v>544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4</v>
      </c>
      <c r="I41" t="s">
        <v>4</v>
      </c>
      <c r="J41" t="s">
        <v>4</v>
      </c>
      <c r="K41" t="s">
        <v>4</v>
      </c>
      <c r="L41" t="s">
        <v>3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3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3</v>
      </c>
      <c r="AE41" t="s">
        <v>4</v>
      </c>
      <c r="AF41" t="s">
        <v>4</v>
      </c>
    </row>
    <row r="42" spans="1:32" x14ac:dyDescent="0.25">
      <c r="A42">
        <v>40</v>
      </c>
      <c r="B42">
        <v>546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</row>
    <row r="43" spans="1:32" x14ac:dyDescent="0.25">
      <c r="A43">
        <v>41</v>
      </c>
      <c r="B43">
        <v>565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</row>
    <row r="44" spans="1:32" x14ac:dyDescent="0.25">
      <c r="A44">
        <v>42</v>
      </c>
      <c r="B44">
        <v>578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</row>
    <row r="45" spans="1:32" x14ac:dyDescent="0.25">
      <c r="A45">
        <v>43</v>
      </c>
      <c r="B45">
        <v>598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</row>
    <row r="46" spans="1:32" x14ac:dyDescent="0.25">
      <c r="A46">
        <v>44</v>
      </c>
      <c r="B46">
        <v>602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</row>
    <row r="47" spans="1:32" x14ac:dyDescent="0.25">
      <c r="A47">
        <v>45</v>
      </c>
      <c r="B47">
        <v>604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5</v>
      </c>
      <c r="M47" t="s">
        <v>5</v>
      </c>
      <c r="N47" t="s">
        <v>5</v>
      </c>
      <c r="O47" t="s">
        <v>5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4</v>
      </c>
    </row>
    <row r="48" spans="1:32" x14ac:dyDescent="0.25">
      <c r="A48">
        <v>46</v>
      </c>
      <c r="B48">
        <v>629</v>
      </c>
      <c r="C48" t="s">
        <v>4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4</v>
      </c>
    </row>
    <row r="49" spans="1:32" x14ac:dyDescent="0.25">
      <c r="A49">
        <v>47</v>
      </c>
      <c r="B49">
        <v>634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</row>
    <row r="50" spans="1:32" x14ac:dyDescent="0.25">
      <c r="A50">
        <v>48</v>
      </c>
      <c r="B50">
        <v>649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4</v>
      </c>
      <c r="L50" t="s">
        <v>3</v>
      </c>
      <c r="M50" t="s">
        <v>4</v>
      </c>
      <c r="N50" t="s">
        <v>3</v>
      </c>
      <c r="O50" t="s">
        <v>3</v>
      </c>
      <c r="P50" t="s">
        <v>4</v>
      </c>
      <c r="Q50" t="s">
        <v>3</v>
      </c>
      <c r="R50" t="s">
        <v>3</v>
      </c>
      <c r="S50" t="s">
        <v>4</v>
      </c>
      <c r="T50" t="s">
        <v>3</v>
      </c>
      <c r="U50" t="s">
        <v>4</v>
      </c>
      <c r="V50" t="s">
        <v>3</v>
      </c>
      <c r="W50" t="s">
        <v>4</v>
      </c>
      <c r="X50" t="s">
        <v>4</v>
      </c>
      <c r="Y50" t="s">
        <v>4</v>
      </c>
      <c r="Z50" t="s">
        <v>3</v>
      </c>
      <c r="AA50" t="s">
        <v>4</v>
      </c>
      <c r="AB50" t="s">
        <v>4</v>
      </c>
      <c r="AC50" t="s">
        <v>3</v>
      </c>
      <c r="AD50" t="s">
        <v>3</v>
      </c>
      <c r="AE50" t="s">
        <v>3</v>
      </c>
      <c r="AF50" t="s">
        <v>4</v>
      </c>
    </row>
    <row r="51" spans="1:32" x14ac:dyDescent="0.25">
      <c r="A51">
        <v>49</v>
      </c>
      <c r="B51">
        <v>659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</row>
    <row r="52" spans="1:32" x14ac:dyDescent="0.25">
      <c r="A52">
        <v>50</v>
      </c>
      <c r="B52">
        <v>679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</row>
    <row r="53" spans="1:32" x14ac:dyDescent="0.25">
      <c r="A53">
        <v>51</v>
      </c>
      <c r="B53">
        <v>690</v>
      </c>
      <c r="C53" t="s">
        <v>4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</row>
    <row r="54" spans="1:32" x14ac:dyDescent="0.25">
      <c r="A54">
        <v>52</v>
      </c>
      <c r="B54">
        <v>709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</row>
    <row r="55" spans="1:32" x14ac:dyDescent="0.25">
      <c r="A55">
        <v>53</v>
      </c>
      <c r="B55">
        <v>719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</row>
    <row r="56" spans="1:32" x14ac:dyDescent="0.25">
      <c r="A56">
        <v>54</v>
      </c>
      <c r="B56">
        <v>727</v>
      </c>
      <c r="C56" t="s">
        <v>4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</row>
    <row r="57" spans="1:32" x14ac:dyDescent="0.25">
      <c r="A57">
        <v>55</v>
      </c>
      <c r="B57">
        <v>729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</row>
    <row r="58" spans="1:32" x14ac:dyDescent="0.25">
      <c r="A58">
        <v>56</v>
      </c>
      <c r="B58">
        <v>761</v>
      </c>
      <c r="C58" t="s">
        <v>3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3</v>
      </c>
      <c r="W58" t="s">
        <v>5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</row>
    <row r="59" spans="1:32" x14ac:dyDescent="0.25">
      <c r="A59">
        <v>57</v>
      </c>
      <c r="B59">
        <v>763</v>
      </c>
      <c r="C59" t="s">
        <v>5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</row>
    <row r="60" spans="1:32" x14ac:dyDescent="0.25">
      <c r="A60">
        <v>58</v>
      </c>
      <c r="B60">
        <v>783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</row>
    <row r="61" spans="1:32" x14ac:dyDescent="0.25">
      <c r="A61">
        <v>59</v>
      </c>
      <c r="B61">
        <v>788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</row>
    <row r="62" spans="1:32" x14ac:dyDescent="0.25">
      <c r="A62">
        <v>60</v>
      </c>
      <c r="B62">
        <v>793</v>
      </c>
      <c r="C62" t="s">
        <v>4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4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</v>
      </c>
      <c r="X62" t="s">
        <v>3</v>
      </c>
      <c r="Y62" t="s">
        <v>3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</row>
    <row r="63" spans="1:32" x14ac:dyDescent="0.25">
      <c r="A63">
        <v>61</v>
      </c>
      <c r="B63">
        <v>818</v>
      </c>
      <c r="C63" t="s">
        <v>5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</row>
    <row r="64" spans="1:32" x14ac:dyDescent="0.25">
      <c r="A64">
        <v>62</v>
      </c>
      <c r="B64">
        <v>827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4</v>
      </c>
      <c r="J64" t="s">
        <v>4</v>
      </c>
      <c r="K64" t="s">
        <v>4</v>
      </c>
      <c r="L64" t="s">
        <v>4</v>
      </c>
      <c r="M64" t="s">
        <v>3</v>
      </c>
      <c r="N64" t="s">
        <v>3</v>
      </c>
      <c r="O64" t="s">
        <v>4</v>
      </c>
      <c r="P64" t="s">
        <v>4</v>
      </c>
      <c r="Q64" t="s">
        <v>3</v>
      </c>
      <c r="R64" t="s">
        <v>4</v>
      </c>
      <c r="S64" t="s">
        <v>3</v>
      </c>
      <c r="T64" t="s">
        <v>4</v>
      </c>
      <c r="U64" t="s">
        <v>3</v>
      </c>
      <c r="V64" t="s">
        <v>4</v>
      </c>
      <c r="W64" t="s">
        <v>4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4</v>
      </c>
      <c r="AE64" t="s">
        <v>3</v>
      </c>
      <c r="AF64" t="s">
        <v>4</v>
      </c>
    </row>
    <row r="65" spans="1:32" x14ac:dyDescent="0.25">
      <c r="A65">
        <v>63</v>
      </c>
      <c r="B65">
        <v>853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</row>
    <row r="66" spans="1:32" x14ac:dyDescent="0.25">
      <c r="A66">
        <v>64</v>
      </c>
      <c r="B66">
        <v>855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</row>
    <row r="67" spans="1:32" x14ac:dyDescent="0.25">
      <c r="A67">
        <v>65</v>
      </c>
      <c r="B67">
        <v>885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</row>
    <row r="68" spans="1:32" x14ac:dyDescent="0.25">
      <c r="A68">
        <v>66</v>
      </c>
      <c r="B68">
        <v>894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</row>
    <row r="69" spans="1:32" x14ac:dyDescent="0.25">
      <c r="A69">
        <v>67</v>
      </c>
      <c r="B69">
        <v>904</v>
      </c>
      <c r="C69" t="s">
        <v>4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</row>
    <row r="70" spans="1:32" x14ac:dyDescent="0.25">
      <c r="A70">
        <v>68</v>
      </c>
      <c r="B70">
        <v>907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</row>
    <row r="71" spans="1:32" x14ac:dyDescent="0.25">
      <c r="A71">
        <v>69</v>
      </c>
      <c r="B71">
        <v>940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</row>
    <row r="72" spans="1:32" x14ac:dyDescent="0.25">
      <c r="A72">
        <v>70</v>
      </c>
      <c r="B72">
        <v>946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</row>
    <row r="73" spans="1:32" x14ac:dyDescent="0.25">
      <c r="A73">
        <v>71</v>
      </c>
      <c r="B73">
        <v>963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</row>
    <row r="74" spans="1:32" x14ac:dyDescent="0.25">
      <c r="A74">
        <v>72</v>
      </c>
      <c r="B74">
        <v>982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</row>
    <row r="75" spans="1:32" x14ac:dyDescent="0.25">
      <c r="A75">
        <v>73</v>
      </c>
      <c r="B75">
        <v>992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</row>
    <row r="76" spans="1:32" x14ac:dyDescent="0.25">
      <c r="A76">
        <v>74</v>
      </c>
      <c r="B76">
        <v>994</v>
      </c>
      <c r="C76" t="s">
        <v>4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</row>
    <row r="77" spans="1:32" x14ac:dyDescent="0.25">
      <c r="A77">
        <v>75</v>
      </c>
      <c r="B77">
        <v>996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</row>
    <row r="78" spans="1:32" x14ac:dyDescent="0.25">
      <c r="A78">
        <v>76</v>
      </c>
      <c r="B78">
        <v>1034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</row>
    <row r="79" spans="1:32" x14ac:dyDescent="0.25">
      <c r="A79">
        <v>77</v>
      </c>
      <c r="B79">
        <v>1048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</row>
    <row r="80" spans="1:32" x14ac:dyDescent="0.25">
      <c r="A80">
        <v>78</v>
      </c>
      <c r="B80">
        <v>1055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</row>
    <row r="81" spans="1:32" x14ac:dyDescent="0.25">
      <c r="A81">
        <v>79</v>
      </c>
      <c r="B81">
        <v>1057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</row>
    <row r="82" spans="1:32" x14ac:dyDescent="0.25">
      <c r="A82">
        <v>80</v>
      </c>
      <c r="B82">
        <v>1063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</row>
    <row r="83" spans="1:32" x14ac:dyDescent="0.25">
      <c r="A83">
        <v>81</v>
      </c>
      <c r="B83">
        <v>1074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</row>
    <row r="84" spans="1:32" x14ac:dyDescent="0.25">
      <c r="A84">
        <v>82</v>
      </c>
      <c r="B84">
        <v>1097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</row>
    <row r="85" spans="1:32" x14ac:dyDescent="0.25">
      <c r="A85">
        <v>83</v>
      </c>
      <c r="B85">
        <v>1102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</row>
    <row r="86" spans="1:32" x14ac:dyDescent="0.25">
      <c r="A86">
        <v>84</v>
      </c>
      <c r="B86">
        <v>1121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</row>
    <row r="87" spans="1:32" x14ac:dyDescent="0.25">
      <c r="A87">
        <v>85</v>
      </c>
      <c r="B87">
        <v>1128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</row>
    <row r="88" spans="1:32" x14ac:dyDescent="0.25">
      <c r="A88">
        <v>86</v>
      </c>
      <c r="B88">
        <v>1153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</row>
    <row r="89" spans="1:32" x14ac:dyDescent="0.25">
      <c r="A89">
        <v>87</v>
      </c>
      <c r="B89">
        <v>1174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</row>
    <row r="90" spans="1:32" x14ac:dyDescent="0.25">
      <c r="A90">
        <v>88</v>
      </c>
      <c r="B90">
        <v>1185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</row>
    <row r="91" spans="1:32" x14ac:dyDescent="0.25">
      <c r="A91">
        <v>89</v>
      </c>
      <c r="B91">
        <v>1199</v>
      </c>
      <c r="C91" t="s">
        <v>3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3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</row>
    <row r="92" spans="1:32" x14ac:dyDescent="0.25">
      <c r="A92">
        <v>90</v>
      </c>
      <c r="B92">
        <v>1211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</row>
    <row r="93" spans="1:32" x14ac:dyDescent="0.25">
      <c r="A93">
        <v>91</v>
      </c>
      <c r="B93">
        <v>1222</v>
      </c>
      <c r="C93" t="s">
        <v>4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5</v>
      </c>
      <c r="S93" t="s">
        <v>5</v>
      </c>
      <c r="T93" t="s">
        <v>5</v>
      </c>
      <c r="U93" t="s">
        <v>5</v>
      </c>
      <c r="V93" t="s">
        <v>4</v>
      </c>
      <c r="W93" t="s">
        <v>4</v>
      </c>
      <c r="X93" t="s">
        <v>4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E93" t="s">
        <v>4</v>
      </c>
      <c r="AF93" t="s">
        <v>4</v>
      </c>
    </row>
    <row r="94" spans="1:32" x14ac:dyDescent="0.25">
      <c r="A94">
        <v>92</v>
      </c>
      <c r="B94">
        <v>1223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</row>
    <row r="95" spans="1:32" x14ac:dyDescent="0.25">
      <c r="A95">
        <v>93</v>
      </c>
      <c r="B95">
        <v>1239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</row>
    <row r="96" spans="1:32" x14ac:dyDescent="0.25">
      <c r="A96">
        <v>94</v>
      </c>
      <c r="B96">
        <v>1248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</row>
    <row r="97" spans="1:32" x14ac:dyDescent="0.25">
      <c r="A97">
        <v>95</v>
      </c>
      <c r="B97">
        <v>1268</v>
      </c>
      <c r="C97" t="s">
        <v>4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4</v>
      </c>
      <c r="J97" t="s">
        <v>4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3</v>
      </c>
      <c r="Y97" t="s">
        <v>3</v>
      </c>
      <c r="Z97" t="s">
        <v>3</v>
      </c>
      <c r="AA97" t="s">
        <v>5</v>
      </c>
      <c r="AB97" t="s">
        <v>3</v>
      </c>
      <c r="AC97" t="s">
        <v>3</v>
      </c>
      <c r="AD97" t="s">
        <v>4</v>
      </c>
      <c r="AE97" t="s">
        <v>3</v>
      </c>
      <c r="AF97" t="s">
        <v>4</v>
      </c>
    </row>
    <row r="98" spans="1:32" x14ac:dyDescent="0.25">
      <c r="A98">
        <v>96</v>
      </c>
      <c r="B98">
        <v>1271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</row>
    <row r="99" spans="1:32" x14ac:dyDescent="0.25">
      <c r="A99">
        <v>97</v>
      </c>
      <c r="B99">
        <v>1301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</row>
    <row r="100" spans="1:32" x14ac:dyDescent="0.25">
      <c r="A100">
        <v>98</v>
      </c>
      <c r="B100">
        <v>1308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4</v>
      </c>
      <c r="L100" t="s">
        <v>3</v>
      </c>
      <c r="M100" t="s">
        <v>4</v>
      </c>
      <c r="N100" t="s">
        <v>3</v>
      </c>
      <c r="O100" t="s">
        <v>3</v>
      </c>
      <c r="P100" t="s">
        <v>4</v>
      </c>
      <c r="Q100" t="s">
        <v>3</v>
      </c>
      <c r="R100" t="s">
        <v>3</v>
      </c>
      <c r="S100" t="s">
        <v>4</v>
      </c>
      <c r="T100" t="s">
        <v>3</v>
      </c>
      <c r="U100" t="s">
        <v>4</v>
      </c>
      <c r="V100" t="s">
        <v>3</v>
      </c>
      <c r="W100" t="s">
        <v>4</v>
      </c>
      <c r="X100" t="s">
        <v>4</v>
      </c>
      <c r="Y100" t="s">
        <v>4</v>
      </c>
      <c r="Z100" t="s">
        <v>3</v>
      </c>
      <c r="AA100" t="s">
        <v>4</v>
      </c>
      <c r="AB100" t="s">
        <v>4</v>
      </c>
      <c r="AC100" t="s">
        <v>3</v>
      </c>
      <c r="AD100" t="s">
        <v>3</v>
      </c>
      <c r="AE100" t="s">
        <v>3</v>
      </c>
      <c r="AF100" t="s">
        <v>4</v>
      </c>
    </row>
    <row r="101" spans="1:32" x14ac:dyDescent="0.25">
      <c r="A101">
        <v>99</v>
      </c>
      <c r="B101">
        <v>1314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</row>
    <row r="102" spans="1:32" x14ac:dyDescent="0.25">
      <c r="A102">
        <v>100</v>
      </c>
      <c r="B102">
        <v>1343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</row>
    <row r="103" spans="1:32" x14ac:dyDescent="0.25">
      <c r="A103">
        <v>101</v>
      </c>
      <c r="B103">
        <v>1351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</row>
    <row r="104" spans="1:32" x14ac:dyDescent="0.25">
      <c r="A104">
        <v>102</v>
      </c>
      <c r="B104">
        <v>1368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</row>
    <row r="105" spans="1:32" x14ac:dyDescent="0.25">
      <c r="A105">
        <v>103</v>
      </c>
      <c r="B105">
        <v>1387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</row>
    <row r="106" spans="1:32" x14ac:dyDescent="0.25">
      <c r="A106">
        <v>104</v>
      </c>
      <c r="B106">
        <v>1393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4</v>
      </c>
      <c r="Q106" t="s">
        <v>4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t="s">
        <v>4</v>
      </c>
      <c r="AF106" t="s">
        <v>4</v>
      </c>
    </row>
    <row r="107" spans="1:32" x14ac:dyDescent="0.25">
      <c r="A107">
        <v>105</v>
      </c>
      <c r="B107">
        <v>1407</v>
      </c>
      <c r="C107" t="s">
        <v>4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5</v>
      </c>
      <c r="M107" t="s">
        <v>3</v>
      </c>
      <c r="N107" t="s">
        <v>5</v>
      </c>
      <c r="O107" t="s">
        <v>3</v>
      </c>
      <c r="P107" t="s">
        <v>3</v>
      </c>
      <c r="Q107" t="s">
        <v>3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</row>
    <row r="108" spans="1:32" x14ac:dyDescent="0.25">
      <c r="A108">
        <v>106</v>
      </c>
      <c r="B108">
        <v>1422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</row>
    <row r="109" spans="1:32" x14ac:dyDescent="0.25">
      <c r="A109">
        <v>107</v>
      </c>
      <c r="B109">
        <v>1431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</row>
    <row r="110" spans="1:32" x14ac:dyDescent="0.25">
      <c r="A110">
        <v>108</v>
      </c>
      <c r="B110">
        <v>1441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</row>
    <row r="111" spans="1:32" x14ac:dyDescent="0.25">
      <c r="A111">
        <v>109</v>
      </c>
      <c r="B111">
        <v>1451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</row>
    <row r="112" spans="1:32" x14ac:dyDescent="0.25">
      <c r="A112">
        <v>110</v>
      </c>
      <c r="B112">
        <v>1469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4</v>
      </c>
      <c r="L112" t="s">
        <v>3</v>
      </c>
      <c r="M112" t="s">
        <v>4</v>
      </c>
      <c r="N112" t="s">
        <v>3</v>
      </c>
      <c r="O112" t="s">
        <v>3</v>
      </c>
      <c r="P112" t="s">
        <v>4</v>
      </c>
      <c r="Q112" t="s">
        <v>3</v>
      </c>
      <c r="R112" t="s">
        <v>3</v>
      </c>
      <c r="S112" t="s">
        <v>4</v>
      </c>
      <c r="T112" t="s">
        <v>3</v>
      </c>
      <c r="U112" t="s">
        <v>4</v>
      </c>
      <c r="V112" t="s">
        <v>3</v>
      </c>
      <c r="W112" t="s">
        <v>4</v>
      </c>
      <c r="X112" t="s">
        <v>4</v>
      </c>
      <c r="Y112" t="s">
        <v>4</v>
      </c>
      <c r="Z112" t="s">
        <v>3</v>
      </c>
      <c r="AA112" t="s">
        <v>4</v>
      </c>
      <c r="AB112" t="s">
        <v>4</v>
      </c>
      <c r="AC112" t="s">
        <v>3</v>
      </c>
      <c r="AD112" t="s">
        <v>3</v>
      </c>
      <c r="AE112" t="s">
        <v>3</v>
      </c>
      <c r="AF112" t="s">
        <v>4</v>
      </c>
    </row>
    <row r="113" spans="1:32" x14ac:dyDescent="0.25">
      <c r="A113">
        <v>111</v>
      </c>
      <c r="B113">
        <v>1474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</row>
    <row r="114" spans="1:32" x14ac:dyDescent="0.25">
      <c r="A114">
        <v>112</v>
      </c>
      <c r="B114">
        <v>1484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</row>
    <row r="115" spans="1:32" x14ac:dyDescent="0.25">
      <c r="A115">
        <v>113</v>
      </c>
      <c r="B115">
        <v>1485</v>
      </c>
      <c r="C115" t="s">
        <v>4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4</v>
      </c>
      <c r="AB115" t="s">
        <v>4</v>
      </c>
      <c r="AC115" t="s">
        <v>5</v>
      </c>
      <c r="AD115" t="s">
        <v>4</v>
      </c>
      <c r="AE115" t="s">
        <v>4</v>
      </c>
      <c r="AF115" t="s">
        <v>4</v>
      </c>
    </row>
    <row r="116" spans="1:32" x14ac:dyDescent="0.25">
      <c r="A116">
        <v>114</v>
      </c>
      <c r="B116">
        <v>1493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</row>
    <row r="117" spans="1:32" x14ac:dyDescent="0.25">
      <c r="A117">
        <v>115</v>
      </c>
      <c r="B117">
        <v>1513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</row>
    <row r="118" spans="1:32" x14ac:dyDescent="0.25">
      <c r="A118">
        <v>116</v>
      </c>
      <c r="B118">
        <v>1520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4</v>
      </c>
      <c r="J118" t="s">
        <v>4</v>
      </c>
      <c r="K118" t="s">
        <v>4</v>
      </c>
      <c r="L118" t="s">
        <v>4</v>
      </c>
      <c r="M118" t="s">
        <v>3</v>
      </c>
      <c r="N118" t="s">
        <v>3</v>
      </c>
      <c r="O118" t="s">
        <v>4</v>
      </c>
      <c r="P118" t="s">
        <v>4</v>
      </c>
      <c r="Q118" t="s">
        <v>3</v>
      </c>
      <c r="R118" t="s">
        <v>4</v>
      </c>
      <c r="S118" t="s">
        <v>3</v>
      </c>
      <c r="T118" t="s">
        <v>4</v>
      </c>
      <c r="U118" t="s">
        <v>3</v>
      </c>
      <c r="V118" t="s">
        <v>4</v>
      </c>
      <c r="W118" t="s">
        <v>4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4</v>
      </c>
      <c r="AE118" t="s">
        <v>3</v>
      </c>
      <c r="AF118" t="s">
        <v>4</v>
      </c>
    </row>
    <row r="119" spans="1:32" x14ac:dyDescent="0.25">
      <c r="A119">
        <v>117</v>
      </c>
      <c r="B119">
        <v>1547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</row>
    <row r="120" spans="1:32" x14ac:dyDescent="0.25">
      <c r="A120">
        <v>118</v>
      </c>
      <c r="B120">
        <v>1550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</row>
    <row r="121" spans="1:32" x14ac:dyDescent="0.25">
      <c r="A121">
        <v>119</v>
      </c>
      <c r="B121">
        <v>1554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</row>
    <row r="122" spans="1:32" x14ac:dyDescent="0.25">
      <c r="A122">
        <v>120</v>
      </c>
      <c r="B122">
        <v>1589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</row>
    <row r="123" spans="1:32" x14ac:dyDescent="0.25">
      <c r="A123">
        <v>121</v>
      </c>
      <c r="B123">
        <v>1595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</row>
    <row r="124" spans="1:32" x14ac:dyDescent="0.25">
      <c r="A124">
        <v>122</v>
      </c>
      <c r="B124">
        <v>1600</v>
      </c>
      <c r="C124" t="s">
        <v>4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4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</row>
    <row r="125" spans="1:32" x14ac:dyDescent="0.25">
      <c r="A125">
        <v>123</v>
      </c>
      <c r="B125">
        <v>1617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</row>
    <row r="126" spans="1:32" x14ac:dyDescent="0.25">
      <c r="A126">
        <v>124</v>
      </c>
      <c r="B126">
        <v>1619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</row>
    <row r="127" spans="1:32" x14ac:dyDescent="0.25">
      <c r="A127">
        <v>125</v>
      </c>
      <c r="B127">
        <v>1662</v>
      </c>
      <c r="C127" t="s">
        <v>3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3</v>
      </c>
      <c r="Q127" t="s">
        <v>3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</row>
    <row r="128" spans="1:32" x14ac:dyDescent="0.25">
      <c r="A128">
        <v>126</v>
      </c>
      <c r="B128">
        <v>1663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</row>
    <row r="129" spans="1:32" x14ac:dyDescent="0.25">
      <c r="A129">
        <v>127</v>
      </c>
      <c r="B129">
        <v>1665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</row>
    <row r="130" spans="1:32" x14ac:dyDescent="0.25">
      <c r="A130">
        <v>128</v>
      </c>
      <c r="B130">
        <v>1672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</row>
    <row r="131" spans="1:32" x14ac:dyDescent="0.25">
      <c r="A131">
        <v>129</v>
      </c>
      <c r="B131">
        <v>1691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</row>
    <row r="132" spans="1:32" x14ac:dyDescent="0.25">
      <c r="A132">
        <v>130</v>
      </c>
      <c r="B132">
        <v>1698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</row>
    <row r="133" spans="1:32" x14ac:dyDescent="0.25">
      <c r="A133">
        <v>131</v>
      </c>
      <c r="B133">
        <v>1718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</row>
    <row r="134" spans="1:32" x14ac:dyDescent="0.25">
      <c r="A134">
        <v>132</v>
      </c>
      <c r="B134">
        <v>1735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</row>
    <row r="135" spans="1:32" x14ac:dyDescent="0.25">
      <c r="A135">
        <v>133</v>
      </c>
      <c r="B135">
        <v>1736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</row>
    <row r="136" spans="1:32" x14ac:dyDescent="0.25">
      <c r="A136">
        <v>134</v>
      </c>
      <c r="B136">
        <v>1742</v>
      </c>
      <c r="C136" t="s">
        <v>4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5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</row>
    <row r="137" spans="1:32" x14ac:dyDescent="0.25">
      <c r="A137">
        <v>135</v>
      </c>
      <c r="B137">
        <v>1749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</row>
    <row r="138" spans="1:32" x14ac:dyDescent="0.25">
      <c r="A138">
        <v>136</v>
      </c>
      <c r="B138">
        <v>1766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</row>
    <row r="139" spans="1:32" x14ac:dyDescent="0.25">
      <c r="A139">
        <v>137</v>
      </c>
      <c r="B139">
        <v>1772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</row>
    <row r="140" spans="1:32" x14ac:dyDescent="0.25">
      <c r="A140">
        <v>138</v>
      </c>
      <c r="B140">
        <v>1777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</row>
    <row r="141" spans="1:32" x14ac:dyDescent="0.25">
      <c r="A141">
        <v>139</v>
      </c>
      <c r="B141">
        <v>1779</v>
      </c>
      <c r="C141" t="s">
        <v>4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</row>
    <row r="142" spans="1:32" x14ac:dyDescent="0.25">
      <c r="A142">
        <v>140</v>
      </c>
      <c r="B142">
        <v>1799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</row>
    <row r="143" spans="1:32" x14ac:dyDescent="0.25">
      <c r="A143">
        <v>141</v>
      </c>
      <c r="B143">
        <v>1802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</row>
    <row r="144" spans="1:32" x14ac:dyDescent="0.25">
      <c r="A144">
        <v>142</v>
      </c>
      <c r="B144">
        <v>1808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</row>
    <row r="145" spans="1:32" x14ac:dyDescent="0.25">
      <c r="A145">
        <v>143</v>
      </c>
      <c r="B145">
        <v>1828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</row>
    <row r="146" spans="1:32" x14ac:dyDescent="0.25">
      <c r="A146">
        <v>144</v>
      </c>
      <c r="B146">
        <v>1829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</row>
    <row r="147" spans="1:32" x14ac:dyDescent="0.25">
      <c r="A147">
        <v>145</v>
      </c>
      <c r="B147">
        <v>1843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</row>
    <row r="148" spans="1:32" x14ac:dyDescent="0.25">
      <c r="A148">
        <v>146</v>
      </c>
      <c r="B148">
        <v>1846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</row>
    <row r="149" spans="1:32" x14ac:dyDescent="0.25">
      <c r="A149">
        <v>147</v>
      </c>
      <c r="B149">
        <v>1862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</row>
    <row r="150" spans="1:32" x14ac:dyDescent="0.25">
      <c r="A150">
        <v>148</v>
      </c>
      <c r="B150">
        <v>1876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</row>
    <row r="151" spans="1:32" x14ac:dyDescent="0.25">
      <c r="A151">
        <v>149</v>
      </c>
      <c r="B151">
        <v>1890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</row>
    <row r="152" spans="1:32" x14ac:dyDescent="0.25">
      <c r="A152">
        <v>150</v>
      </c>
      <c r="B152">
        <v>1893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</row>
    <row r="153" spans="1:32" x14ac:dyDescent="0.25">
      <c r="A153">
        <v>151</v>
      </c>
      <c r="B153">
        <v>1911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</row>
    <row r="154" spans="1:32" x14ac:dyDescent="0.25">
      <c r="A154">
        <v>152</v>
      </c>
      <c r="B154">
        <v>1918</v>
      </c>
      <c r="C154" t="s">
        <v>4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</row>
    <row r="155" spans="1:32" x14ac:dyDescent="0.25">
      <c r="A155">
        <v>153</v>
      </c>
      <c r="B155">
        <v>1934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4</v>
      </c>
      <c r="J155" t="s">
        <v>4</v>
      </c>
      <c r="K155" t="s">
        <v>4</v>
      </c>
      <c r="L155" t="s">
        <v>4</v>
      </c>
      <c r="M155" t="s">
        <v>3</v>
      </c>
      <c r="N155" t="s">
        <v>3</v>
      </c>
      <c r="O155" t="s">
        <v>4</v>
      </c>
      <c r="P155" t="s">
        <v>4</v>
      </c>
      <c r="Q155" t="s">
        <v>3</v>
      </c>
      <c r="R155" t="s">
        <v>4</v>
      </c>
      <c r="S155" t="s">
        <v>3</v>
      </c>
      <c r="T155" t="s">
        <v>4</v>
      </c>
      <c r="U155" t="s">
        <v>3</v>
      </c>
      <c r="V155" t="s">
        <v>4</v>
      </c>
      <c r="W155" t="s">
        <v>4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4</v>
      </c>
      <c r="AE155" t="s">
        <v>3</v>
      </c>
      <c r="AF155" t="s">
        <v>4</v>
      </c>
    </row>
    <row r="156" spans="1:32" x14ac:dyDescent="0.25">
      <c r="A156">
        <v>154</v>
      </c>
      <c r="B156">
        <v>1937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</row>
    <row r="157" spans="1:32" x14ac:dyDescent="0.25">
      <c r="A157">
        <v>155</v>
      </c>
      <c r="B157">
        <v>1940</v>
      </c>
      <c r="C157" t="s">
        <v>4</v>
      </c>
      <c r="D157" t="s">
        <v>3</v>
      </c>
      <c r="E157" t="s">
        <v>3</v>
      </c>
      <c r="F157" t="s">
        <v>3</v>
      </c>
      <c r="G157" t="s">
        <v>3</v>
      </c>
      <c r="H157" t="s">
        <v>5</v>
      </c>
      <c r="I157" t="s">
        <v>3</v>
      </c>
      <c r="J157" t="s">
        <v>3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</row>
    <row r="158" spans="1:32" x14ac:dyDescent="0.25">
      <c r="A158">
        <v>156</v>
      </c>
      <c r="B158">
        <v>1960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4</v>
      </c>
      <c r="I158" t="s">
        <v>4</v>
      </c>
      <c r="J158" t="s">
        <v>4</v>
      </c>
      <c r="K158" t="s">
        <v>4</v>
      </c>
      <c r="L158" t="s">
        <v>3</v>
      </c>
      <c r="M158" t="s">
        <v>3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3</v>
      </c>
      <c r="W158" t="s">
        <v>4</v>
      </c>
      <c r="X158" t="s">
        <v>3</v>
      </c>
      <c r="Y158" t="s">
        <v>4</v>
      </c>
      <c r="Z158" t="s">
        <v>3</v>
      </c>
      <c r="AA158" t="s">
        <v>4</v>
      </c>
      <c r="AB158" t="s">
        <v>4</v>
      </c>
      <c r="AC158" t="s">
        <v>3</v>
      </c>
      <c r="AD158" t="s">
        <v>3</v>
      </c>
      <c r="AE158" t="s">
        <v>4</v>
      </c>
      <c r="AF158" t="s">
        <v>4</v>
      </c>
    </row>
    <row r="159" spans="1:32" x14ac:dyDescent="0.25">
      <c r="A159">
        <v>157</v>
      </c>
      <c r="B159">
        <v>1967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</row>
    <row r="160" spans="1:32" x14ac:dyDescent="0.25">
      <c r="A160">
        <v>158</v>
      </c>
      <c r="B160">
        <v>1979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</row>
    <row r="161" spans="1:32" x14ac:dyDescent="0.25">
      <c r="A161">
        <v>159</v>
      </c>
      <c r="B161">
        <v>1983</v>
      </c>
      <c r="C161" t="s">
        <v>5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5</v>
      </c>
      <c r="R161" t="s">
        <v>5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4</v>
      </c>
      <c r="AE161" t="s">
        <v>4</v>
      </c>
      <c r="AF161" t="s">
        <v>4</v>
      </c>
    </row>
    <row r="162" spans="1:32" x14ac:dyDescent="0.25">
      <c r="A162">
        <v>160</v>
      </c>
      <c r="B162">
        <v>2009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</row>
    <row r="163" spans="1:32" x14ac:dyDescent="0.25">
      <c r="A163">
        <v>161</v>
      </c>
      <c r="B163">
        <v>2016</v>
      </c>
      <c r="C163" t="s">
        <v>4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5</v>
      </c>
      <c r="M163" t="s">
        <v>5</v>
      </c>
      <c r="N163" t="s">
        <v>5</v>
      </c>
      <c r="O163" t="s">
        <v>5</v>
      </c>
      <c r="P163" t="s">
        <v>4</v>
      </c>
      <c r="Q163" t="s">
        <v>4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</row>
    <row r="164" spans="1:32" x14ac:dyDescent="0.25">
      <c r="A164">
        <v>162</v>
      </c>
      <c r="B164">
        <v>2018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</row>
    <row r="165" spans="1:32" x14ac:dyDescent="0.25">
      <c r="A165">
        <v>163</v>
      </c>
      <c r="B165">
        <v>2024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</row>
    <row r="166" spans="1:32" x14ac:dyDescent="0.25">
      <c r="A166">
        <v>164</v>
      </c>
      <c r="B166">
        <v>2032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</row>
    <row r="167" spans="1:32" x14ac:dyDescent="0.25">
      <c r="A167">
        <v>165</v>
      </c>
      <c r="B167">
        <v>2043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</row>
    <row r="168" spans="1:32" x14ac:dyDescent="0.25">
      <c r="A168">
        <v>166</v>
      </c>
      <c r="B168">
        <v>2055</v>
      </c>
      <c r="C168" t="s">
        <v>5</v>
      </c>
      <c r="D168" t="s">
        <v>5</v>
      </c>
      <c r="E168" t="s">
        <v>5</v>
      </c>
      <c r="F168" t="s">
        <v>5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</row>
    <row r="169" spans="1:32" x14ac:dyDescent="0.25">
      <c r="A169">
        <v>167</v>
      </c>
      <c r="B169">
        <v>2057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</row>
    <row r="170" spans="1:32" x14ac:dyDescent="0.25">
      <c r="A170">
        <v>168</v>
      </c>
      <c r="B170">
        <v>2064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</row>
    <row r="171" spans="1:32" x14ac:dyDescent="0.25">
      <c r="A171">
        <v>169</v>
      </c>
      <c r="B171">
        <v>2073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</row>
    <row r="172" spans="1:32" x14ac:dyDescent="0.25">
      <c r="A172">
        <v>170</v>
      </c>
      <c r="B172">
        <v>2093</v>
      </c>
      <c r="C172" t="s">
        <v>5</v>
      </c>
      <c r="D172" t="s">
        <v>5</v>
      </c>
      <c r="E172" t="s">
        <v>5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</row>
    <row r="173" spans="1:32" x14ac:dyDescent="0.25">
      <c r="A173">
        <v>171</v>
      </c>
      <c r="B173">
        <v>2104</v>
      </c>
      <c r="C173" t="s">
        <v>4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</row>
    <row r="174" spans="1:32" x14ac:dyDescent="0.25">
      <c r="A174">
        <v>172</v>
      </c>
      <c r="B174">
        <v>2109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</row>
    <row r="175" spans="1:32" x14ac:dyDescent="0.25">
      <c r="A175">
        <v>173</v>
      </c>
      <c r="B175">
        <v>2116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</row>
    <row r="176" spans="1:32" x14ac:dyDescent="0.25">
      <c r="A176">
        <v>174</v>
      </c>
      <c r="B176">
        <v>2118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</row>
    <row r="177" spans="1:32" x14ac:dyDescent="0.25">
      <c r="A177">
        <v>175</v>
      </c>
      <c r="B177">
        <v>2140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</row>
    <row r="178" spans="1:32" x14ac:dyDescent="0.25">
      <c r="A178">
        <v>176</v>
      </c>
      <c r="B178">
        <v>2147</v>
      </c>
      <c r="C178" t="s">
        <v>4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</row>
    <row r="179" spans="1:32" x14ac:dyDescent="0.25">
      <c r="A179">
        <v>177</v>
      </c>
      <c r="B179">
        <v>2149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</row>
    <row r="180" spans="1:32" x14ac:dyDescent="0.25">
      <c r="A180">
        <v>178</v>
      </c>
      <c r="B180">
        <v>2160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</row>
    <row r="181" spans="1:32" x14ac:dyDescent="0.25">
      <c r="A181">
        <v>179</v>
      </c>
      <c r="B181">
        <v>2172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</row>
    <row r="182" spans="1:32" x14ac:dyDescent="0.25">
      <c r="A182">
        <v>180</v>
      </c>
      <c r="B182">
        <v>2175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</row>
    <row r="183" spans="1:32" x14ac:dyDescent="0.25">
      <c r="A183">
        <v>181</v>
      </c>
      <c r="B183">
        <v>2184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</row>
    <row r="184" spans="1:32" x14ac:dyDescent="0.25">
      <c r="A184">
        <v>182</v>
      </c>
      <c r="B184">
        <v>2198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</row>
    <row r="185" spans="1:32" x14ac:dyDescent="0.25">
      <c r="A185">
        <v>183</v>
      </c>
      <c r="B185">
        <v>2214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</row>
    <row r="186" spans="1:32" x14ac:dyDescent="0.25">
      <c r="A186">
        <v>184</v>
      </c>
      <c r="B186">
        <v>2215</v>
      </c>
      <c r="C186" t="s">
        <v>4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4</v>
      </c>
      <c r="L186" t="s">
        <v>3</v>
      </c>
      <c r="M186" t="s">
        <v>4</v>
      </c>
      <c r="N186" t="s">
        <v>3</v>
      </c>
      <c r="O186" t="s">
        <v>3</v>
      </c>
      <c r="P186" t="s">
        <v>4</v>
      </c>
      <c r="Q186" t="s">
        <v>3</v>
      </c>
      <c r="R186" t="s">
        <v>3</v>
      </c>
      <c r="S186" t="s">
        <v>4</v>
      </c>
      <c r="T186" t="s">
        <v>3</v>
      </c>
      <c r="U186" t="s">
        <v>4</v>
      </c>
      <c r="V186" t="s">
        <v>3</v>
      </c>
      <c r="W186" t="s">
        <v>4</v>
      </c>
      <c r="X186" t="s">
        <v>4</v>
      </c>
      <c r="Y186" t="s">
        <v>4</v>
      </c>
      <c r="Z186" t="s">
        <v>3</v>
      </c>
      <c r="AA186" t="s">
        <v>4</v>
      </c>
      <c r="AB186" t="s">
        <v>4</v>
      </c>
      <c r="AC186" t="s">
        <v>3</v>
      </c>
      <c r="AD186" t="s">
        <v>3</v>
      </c>
      <c r="AE186" t="s">
        <v>3</v>
      </c>
      <c r="AF186" t="s">
        <v>4</v>
      </c>
    </row>
    <row r="187" spans="1:32" x14ac:dyDescent="0.25">
      <c r="A187">
        <v>185</v>
      </c>
      <c r="B187">
        <v>2225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</row>
    <row r="188" spans="1:32" x14ac:dyDescent="0.25">
      <c r="A188">
        <v>186</v>
      </c>
      <c r="B188">
        <v>2230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</row>
    <row r="189" spans="1:32" x14ac:dyDescent="0.25">
      <c r="A189">
        <v>187</v>
      </c>
      <c r="B189">
        <v>2248</v>
      </c>
      <c r="C189" t="s">
        <v>5</v>
      </c>
      <c r="D189" t="s">
        <v>5</v>
      </c>
      <c r="E189" t="s">
        <v>5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</row>
    <row r="190" spans="1:32" x14ac:dyDescent="0.25">
      <c r="A190">
        <v>188</v>
      </c>
      <c r="B190">
        <v>2266</v>
      </c>
      <c r="C190" t="s">
        <v>3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3</v>
      </c>
      <c r="U190" t="s">
        <v>5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</row>
    <row r="191" spans="1:32" x14ac:dyDescent="0.25">
      <c r="A191">
        <v>189</v>
      </c>
      <c r="B191">
        <v>2275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</row>
    <row r="192" spans="1:32" x14ac:dyDescent="0.25">
      <c r="A192">
        <v>190</v>
      </c>
      <c r="B192">
        <v>2293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</row>
    <row r="193" spans="1:32" x14ac:dyDescent="0.25">
      <c r="A193">
        <v>191</v>
      </c>
      <c r="B193">
        <v>2301</v>
      </c>
      <c r="C193" t="s">
        <v>4</v>
      </c>
      <c r="D193" t="s">
        <v>5</v>
      </c>
      <c r="E193" t="s">
        <v>5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3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</row>
    <row r="194" spans="1:32" x14ac:dyDescent="0.25">
      <c r="A194">
        <v>192</v>
      </c>
      <c r="B194">
        <v>2305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</row>
    <row r="195" spans="1:32" x14ac:dyDescent="0.25">
      <c r="A195">
        <v>193</v>
      </c>
      <c r="B195">
        <v>2321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</row>
    <row r="196" spans="1:32" x14ac:dyDescent="0.25">
      <c r="A196">
        <v>194</v>
      </c>
      <c r="B196">
        <v>2343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</row>
    <row r="197" spans="1:32" x14ac:dyDescent="0.25">
      <c r="A197">
        <v>195</v>
      </c>
      <c r="B197">
        <v>2346</v>
      </c>
      <c r="C197" t="s">
        <v>4</v>
      </c>
      <c r="D197" t="s">
        <v>5</v>
      </c>
      <c r="E197" t="s">
        <v>5</v>
      </c>
      <c r="F197" t="s">
        <v>5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5</v>
      </c>
    </row>
    <row r="198" spans="1:32" x14ac:dyDescent="0.25">
      <c r="A198">
        <v>196</v>
      </c>
      <c r="B198">
        <v>2351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</row>
    <row r="199" spans="1:32" x14ac:dyDescent="0.25">
      <c r="A199">
        <v>197</v>
      </c>
      <c r="B199">
        <v>2354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</row>
    <row r="200" spans="1:32" x14ac:dyDescent="0.25">
      <c r="A200">
        <v>198</v>
      </c>
      <c r="B200">
        <v>2364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3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</row>
    <row r="201" spans="1:32" x14ac:dyDescent="0.25">
      <c r="A201">
        <v>199</v>
      </c>
      <c r="B201">
        <v>2365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44FB-4D70-43EC-B2A1-E00D6D487CE5}">
  <dimension ref="A1:B201"/>
  <sheetViews>
    <sheetView topLeftCell="A172" zoomScale="85" zoomScaleNormal="85" workbookViewId="0">
      <selection activeCell="B201" sqref="B201"/>
    </sheetView>
  </sheetViews>
  <sheetFormatPr baseColWidth="10" defaultRowHeight="15" x14ac:dyDescent="0.25"/>
  <cols>
    <col min="2" max="2" width="54" customWidth="1"/>
  </cols>
  <sheetData>
    <row r="1" spans="1:2" x14ac:dyDescent="0.25">
      <c r="A1">
        <f>Analyse!AF1</f>
        <v>29</v>
      </c>
      <c r="B1" t="s">
        <v>20</v>
      </c>
    </row>
    <row r="2" spans="1:2" x14ac:dyDescent="0.25">
      <c r="A2" t="str">
        <f>Analyse!AF2</f>
        <v>Dropout</v>
      </c>
      <c r="B2" t="str">
        <f>A2</f>
        <v>Dropout</v>
      </c>
    </row>
    <row r="3" spans="1:2" x14ac:dyDescent="0.25">
      <c r="A3" t="str">
        <f>Analyse!AF3</f>
        <v>Dropout</v>
      </c>
      <c r="B3" t="str">
        <f>_xlfn.CONCAT(B2,",",A3)</f>
        <v>Dropout,Dropout</v>
      </c>
    </row>
    <row r="4" spans="1:2" x14ac:dyDescent="0.25">
      <c r="A4" t="str">
        <f>Analyse!AF4</f>
        <v>Pass</v>
      </c>
      <c r="B4" t="str">
        <f t="shared" ref="B4:B67" si="0">_xlfn.CONCAT(B3,",",A4)</f>
        <v>Dropout,Dropout,Pass</v>
      </c>
    </row>
    <row r="5" spans="1:2" x14ac:dyDescent="0.25">
      <c r="A5" t="str">
        <f>Analyse!AF5</f>
        <v>Pass</v>
      </c>
      <c r="B5" t="str">
        <f t="shared" si="0"/>
        <v>Dropout,Dropout,Pass,Pass</v>
      </c>
    </row>
    <row r="6" spans="1:2" x14ac:dyDescent="0.25">
      <c r="A6" t="str">
        <f>Analyse!AF6</f>
        <v>Dropout</v>
      </c>
      <c r="B6" t="str">
        <f t="shared" si="0"/>
        <v>Dropout,Dropout,Pass,Pass,Dropout</v>
      </c>
    </row>
    <row r="7" spans="1:2" x14ac:dyDescent="0.25">
      <c r="A7" t="str">
        <f>Analyse!AF7</f>
        <v>Dropout</v>
      </c>
      <c r="B7" t="str">
        <f t="shared" si="0"/>
        <v>Dropout,Dropout,Pass,Pass,Dropout,Dropout</v>
      </c>
    </row>
    <row r="8" spans="1:2" x14ac:dyDescent="0.25">
      <c r="A8" t="str">
        <f>Analyse!AF8</f>
        <v>Dropout</v>
      </c>
      <c r="B8" t="str">
        <f t="shared" si="0"/>
        <v>Dropout,Dropout,Pass,Pass,Dropout,Dropout,Dropout</v>
      </c>
    </row>
    <row r="9" spans="1:2" x14ac:dyDescent="0.25">
      <c r="A9" t="str">
        <f>Analyse!AF9</f>
        <v>Pass</v>
      </c>
      <c r="B9" t="str">
        <f t="shared" si="0"/>
        <v>Dropout,Dropout,Pass,Pass,Dropout,Dropout,Dropout,Pass</v>
      </c>
    </row>
    <row r="10" spans="1:2" x14ac:dyDescent="0.25">
      <c r="A10" t="str">
        <f>Analyse!AF10</f>
        <v>Pass</v>
      </c>
      <c r="B10" t="str">
        <f t="shared" si="0"/>
        <v>Dropout,Dropout,Pass,Pass,Dropout,Dropout,Dropout,Pass,Pass</v>
      </c>
    </row>
    <row r="11" spans="1:2" x14ac:dyDescent="0.25">
      <c r="A11" t="str">
        <f>Analyse!AF11</f>
        <v>Dropout</v>
      </c>
      <c r="B11" t="str">
        <f t="shared" si="0"/>
        <v>Dropout,Dropout,Pass,Pass,Dropout,Dropout,Dropout,Pass,Pass,Dropout</v>
      </c>
    </row>
    <row r="12" spans="1:2" x14ac:dyDescent="0.25">
      <c r="A12" t="str">
        <f>Analyse!AF12</f>
        <v>Pass</v>
      </c>
      <c r="B12" t="str">
        <f t="shared" si="0"/>
        <v>Dropout,Dropout,Pass,Pass,Dropout,Dropout,Dropout,Pass,Pass,Dropout,Pass</v>
      </c>
    </row>
    <row r="13" spans="1:2" x14ac:dyDescent="0.25">
      <c r="A13" t="str">
        <f>Analyse!AF13</f>
        <v>Pass</v>
      </c>
      <c r="B13" t="str">
        <f t="shared" si="0"/>
        <v>Dropout,Dropout,Pass,Pass,Dropout,Dropout,Dropout,Pass,Pass,Dropout,Pass,Pass</v>
      </c>
    </row>
    <row r="14" spans="1:2" x14ac:dyDescent="0.25">
      <c r="A14" t="str">
        <f>Analyse!AF14</f>
        <v>Pass</v>
      </c>
      <c r="B14" t="str">
        <f t="shared" si="0"/>
        <v>Dropout,Dropout,Pass,Pass,Dropout,Dropout,Dropout,Pass,Pass,Dropout,Pass,Pass,Pass</v>
      </c>
    </row>
    <row r="15" spans="1:2" x14ac:dyDescent="0.25">
      <c r="A15" t="str">
        <f>Analyse!AF15</f>
        <v>Dropout</v>
      </c>
      <c r="B15" t="str">
        <f t="shared" si="0"/>
        <v>Dropout,Dropout,Pass,Pass,Dropout,Dropout,Dropout,Pass,Pass,Dropout,Pass,Pass,Pass,Dropout</v>
      </c>
    </row>
    <row r="16" spans="1:2" x14ac:dyDescent="0.25">
      <c r="A16" t="str">
        <f>Analyse!AF16</f>
        <v>Pass</v>
      </c>
      <c r="B16" t="str">
        <f t="shared" si="0"/>
        <v>Dropout,Dropout,Pass,Pass,Dropout,Dropout,Dropout,Pass,Pass,Dropout,Pass,Pass,Pass,Dropout,Pass</v>
      </c>
    </row>
    <row r="17" spans="1:2" x14ac:dyDescent="0.25">
      <c r="A17" t="str">
        <f>Analyse!AF17</f>
        <v>Pass</v>
      </c>
      <c r="B17" t="str">
        <f t="shared" si="0"/>
        <v>Dropout,Dropout,Pass,Pass,Dropout,Dropout,Dropout,Pass,Pass,Dropout,Pass,Pass,Pass,Dropout,Pass,Pass</v>
      </c>
    </row>
    <row r="18" spans="1:2" x14ac:dyDescent="0.25">
      <c r="A18" t="str">
        <f>Analyse!AF18</f>
        <v>Dropout</v>
      </c>
      <c r="B18" t="str">
        <f t="shared" si="0"/>
        <v>Dropout,Dropout,Pass,Pass,Dropout,Dropout,Dropout,Pass,Pass,Dropout,Pass,Pass,Pass,Dropout,Pass,Pass,Dropout</v>
      </c>
    </row>
    <row r="19" spans="1:2" x14ac:dyDescent="0.25">
      <c r="A19" t="str">
        <f>Analyse!AF19</f>
        <v>Pass</v>
      </c>
      <c r="B19" t="str">
        <f t="shared" si="0"/>
        <v>Dropout,Dropout,Pass,Pass,Dropout,Dropout,Dropout,Pass,Pass,Dropout,Pass,Pass,Pass,Dropout,Pass,Pass,Dropout,Pass</v>
      </c>
    </row>
    <row r="20" spans="1:2" x14ac:dyDescent="0.25">
      <c r="A20" t="str">
        <f>Analyse!AF20</f>
        <v>Dropout</v>
      </c>
      <c r="B20" t="str">
        <f t="shared" si="0"/>
        <v>Dropout,Dropout,Pass,Pass,Dropout,Dropout,Dropout,Pass,Pass,Dropout,Pass,Pass,Pass,Dropout,Pass,Pass,Dropout,Pass,Dropout</v>
      </c>
    </row>
    <row r="21" spans="1:2" x14ac:dyDescent="0.25">
      <c r="A21" t="str">
        <f>Analyse!AF21</f>
        <v>Pass</v>
      </c>
      <c r="B21" t="str">
        <f t="shared" si="0"/>
        <v>Dropout,Dropout,Pass,Pass,Dropout,Dropout,Dropout,Pass,Pass,Dropout,Pass,Pass,Pass,Dropout,Pass,Pass,Dropout,Pass,Dropout,Pass</v>
      </c>
    </row>
    <row r="22" spans="1:2" x14ac:dyDescent="0.25">
      <c r="A22" t="str">
        <f>Analyse!AF22</f>
        <v>Dropout</v>
      </c>
      <c r="B22" t="str">
        <f t="shared" si="0"/>
        <v>Dropout,Dropout,Pass,Pass,Dropout,Dropout,Dropout,Pass,Pass,Dropout,Pass,Pass,Pass,Dropout,Pass,Pass,Dropout,Pass,Dropout,Pass,Dropout</v>
      </c>
    </row>
    <row r="23" spans="1:2" x14ac:dyDescent="0.25">
      <c r="A23" t="str">
        <f>Analyse!AF23</f>
        <v>Pass</v>
      </c>
      <c r="B23" t="str">
        <f t="shared" si="0"/>
        <v>Dropout,Dropout,Pass,Pass,Dropout,Dropout,Dropout,Pass,Pass,Dropout,Pass,Pass,Pass,Dropout,Pass,Pass,Dropout,Pass,Dropout,Pass,Dropout,Pass</v>
      </c>
    </row>
    <row r="24" spans="1:2" x14ac:dyDescent="0.25">
      <c r="A24" t="str">
        <f>Analyse!AF24</f>
        <v>Dropout</v>
      </c>
      <c r="B24" t="str">
        <f t="shared" si="0"/>
        <v>Dropout,Dropout,Pass,Pass,Dropout,Dropout,Dropout,Pass,Pass,Dropout,Pass,Pass,Pass,Dropout,Pass,Pass,Dropout,Pass,Dropout,Pass,Dropout,Pass,Dropout</v>
      </c>
    </row>
    <row r="25" spans="1:2" x14ac:dyDescent="0.25">
      <c r="A25" t="str">
        <f>Analyse!AF25</f>
        <v>Dropout</v>
      </c>
      <c r="B25" t="str">
        <f t="shared" si="0"/>
        <v>Dropout,Dropout,Pass,Pass,Dropout,Dropout,Dropout,Pass,Pass,Dropout,Pass,Pass,Pass,Dropout,Pass,Pass,Dropout,Pass,Dropout,Pass,Dropout,Pass,Dropout,Dropout</v>
      </c>
    </row>
    <row r="26" spans="1:2" x14ac:dyDescent="0.25">
      <c r="A26" t="str">
        <f>Analyse!AF26</f>
        <v>Pass</v>
      </c>
      <c r="B26" t="str">
        <f t="shared" si="0"/>
        <v>Dropout,Dropout,Pass,Pass,Dropout,Dropout,Dropout,Pass,Pass,Dropout,Pass,Pass,Pass,Dropout,Pass,Pass,Dropout,Pass,Dropout,Pass,Dropout,Pass,Dropout,Dropout,Pass</v>
      </c>
    </row>
    <row r="27" spans="1:2" x14ac:dyDescent="0.25">
      <c r="A27" t="str">
        <f>Analyse!AF27</f>
        <v>Pass</v>
      </c>
      <c r="B27" t="str">
        <f t="shared" si="0"/>
        <v>Dropout,Dropout,Pass,Pass,Dropout,Dropout,Dropout,Pass,Pass,Dropout,Pass,Pass,Pass,Dropout,Pass,Pass,Dropout,Pass,Dropout,Pass,Dropout,Pass,Dropout,Dropout,Pass,Pass</v>
      </c>
    </row>
    <row r="28" spans="1:2" x14ac:dyDescent="0.25">
      <c r="A28" t="str">
        <f>Analyse!AF28</f>
        <v>Fail</v>
      </c>
      <c r="B28" t="str">
        <f t="shared" si="0"/>
        <v>Dropout,Dropout,Pass,Pass,Dropout,Dropout,Dropout,Pass,Pass,Dropout,Pass,Pass,Pass,Dropout,Pass,Pass,Dropout,Pass,Dropout,Pass,Dropout,Pass,Dropout,Dropout,Pass,Pass,Fail</v>
      </c>
    </row>
    <row r="29" spans="1:2" x14ac:dyDescent="0.25">
      <c r="A29" t="str">
        <f>Analyse!AF29</f>
        <v>Dropout</v>
      </c>
      <c r="B29" t="str">
        <f t="shared" si="0"/>
        <v>Dropout,Dropout,Pass,Pass,Dropout,Dropout,Dropout,Pass,Pass,Dropout,Pass,Pass,Pass,Dropout,Pass,Pass,Dropout,Pass,Dropout,Pass,Dropout,Pass,Dropout,Dropout,Pass,Pass,Fail,Dropout</v>
      </c>
    </row>
    <row r="30" spans="1:2" x14ac:dyDescent="0.25">
      <c r="A30" t="str">
        <f>Analyse!AF30</f>
        <v>Pass</v>
      </c>
      <c r="B30" t="str">
        <f t="shared" si="0"/>
        <v>Dropout,Dropout,Pass,Pass,Dropout,Dropout,Dropout,Pass,Pass,Dropout,Pass,Pass,Pass,Dropout,Pass,Pass,Dropout,Pass,Dropout,Pass,Dropout,Pass,Dropout,Dropout,Pass,Pass,Fail,Dropout,Pass</v>
      </c>
    </row>
    <row r="31" spans="1:2" x14ac:dyDescent="0.25">
      <c r="A31" t="str">
        <f>Analyse!AF31</f>
        <v>Fail</v>
      </c>
      <c r="B31" t="str">
        <f t="shared" si="0"/>
        <v>Dropout,Dropout,Pass,Pass,Dropout,Dropout,Dropout,Pass,Pass,Dropout,Pass,Pass,Pass,Dropout,Pass,Pass,Dropout,Pass,Dropout,Pass,Dropout,Pass,Dropout,Dropout,Pass,Pass,Fail,Dropout,Pass,Fail</v>
      </c>
    </row>
    <row r="32" spans="1:2" x14ac:dyDescent="0.25">
      <c r="A32" t="str">
        <f>Analyse!AF32</f>
        <v>Dropout</v>
      </c>
      <c r="B32" t="str">
        <f t="shared" si="0"/>
        <v>Dropout,Dropout,Pass,Pass,Dropout,Dropout,Dropout,Pass,Pass,Dropout,Pass,Pass,Pass,Dropout,Pass,Pass,Dropout,Pass,Dropout,Pass,Dropout,Pass,Dropout,Dropout,Pass,Pass,Fail,Dropout,Pass,Fail,Dropout</v>
      </c>
    </row>
    <row r="33" spans="1:2" x14ac:dyDescent="0.25">
      <c r="A33" t="str">
        <f>Analyse!AF33</f>
        <v>Pass</v>
      </c>
      <c r="B33" t="str">
        <f t="shared" si="0"/>
        <v>Dropout,Dropout,Pass,Pass,Dropout,Dropout,Dropout,Pass,Pass,Dropout,Pass,Pass,Pass,Dropout,Pass,Pass,Dropout,Pass,Dropout,Pass,Dropout,Pass,Dropout,Dropout,Pass,Pass,Fail,Dropout,Pass,Fail,Dropout,Pass</v>
      </c>
    </row>
    <row r="34" spans="1:2" x14ac:dyDescent="0.25">
      <c r="A34" t="str">
        <f>Analyse!AF34</f>
        <v>Dropout</v>
      </c>
      <c r="B34" t="str">
        <f t="shared" si="0"/>
        <v>Dropout,Dropout,Pass,Pass,Dropout,Dropout,Dropout,Pass,Pass,Dropout,Pass,Pass,Pass,Dropout,Pass,Pass,Dropout,Pass,Dropout,Pass,Dropout,Pass,Dropout,Dropout,Pass,Pass,Fail,Dropout,Pass,Fail,Dropout,Pass,Dropout</v>
      </c>
    </row>
    <row r="35" spans="1:2" x14ac:dyDescent="0.25">
      <c r="A35" t="str">
        <f>Analyse!AF35</f>
        <v>Dropout</v>
      </c>
      <c r="B35" t="str">
        <f t="shared" si="0"/>
        <v>Dropout,Dropout,Pass,Pass,Dropout,Dropout,Dropout,Pass,Pass,Dropout,Pass,Pass,Pass,Dropout,Pass,Pass,Dropout,Pass,Dropout,Pass,Dropout,Pass,Dropout,Dropout,Pass,Pass,Fail,Dropout,Pass,Fail,Dropout,Pass,Dropout,Dropout</v>
      </c>
    </row>
    <row r="36" spans="1:2" x14ac:dyDescent="0.25">
      <c r="A36" t="str">
        <f>Analyse!AF36</f>
        <v>Pass</v>
      </c>
      <c r="B36" t="str">
        <f t="shared" si="0"/>
        <v>Dropout,Dropout,Pass,Pass,Dropout,Dropout,Dropout,Pass,Pass,Dropout,Pass,Pass,Pass,Dropout,Pass,Pass,Dropout,Pass,Dropout,Pass,Dropout,Pass,Dropout,Dropout,Pass,Pass,Fail,Dropout,Pass,Fail,Dropout,Pass,Dropout,Dropout,Pass</v>
      </c>
    </row>
    <row r="37" spans="1:2" x14ac:dyDescent="0.25">
      <c r="A37" t="str">
        <f>Analyse!AF37</f>
        <v>Pass</v>
      </c>
      <c r="B37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</v>
      </c>
    </row>
    <row r="38" spans="1:2" x14ac:dyDescent="0.25">
      <c r="A38" t="str">
        <f>Analyse!AF38</f>
        <v>Dropout</v>
      </c>
      <c r="B38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</v>
      </c>
    </row>
    <row r="39" spans="1:2" x14ac:dyDescent="0.25">
      <c r="A39" t="str">
        <f>Analyse!AF39</f>
        <v>Pass</v>
      </c>
      <c r="B39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</v>
      </c>
    </row>
    <row r="40" spans="1:2" x14ac:dyDescent="0.25">
      <c r="A40" t="str">
        <f>Analyse!AF40</f>
        <v>Pass</v>
      </c>
      <c r="B40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</v>
      </c>
    </row>
    <row r="41" spans="1:2" x14ac:dyDescent="0.25">
      <c r="A41" t="str">
        <f>Analyse!AF41</f>
        <v>Fail</v>
      </c>
      <c r="B41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</v>
      </c>
    </row>
    <row r="42" spans="1:2" x14ac:dyDescent="0.25">
      <c r="A42" t="str">
        <f>Analyse!AF42</f>
        <v>Pass</v>
      </c>
      <c r="B42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</v>
      </c>
    </row>
    <row r="43" spans="1:2" x14ac:dyDescent="0.25">
      <c r="A43" t="str">
        <f>Analyse!AF43</f>
        <v>Dropout</v>
      </c>
      <c r="B43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</v>
      </c>
    </row>
    <row r="44" spans="1:2" x14ac:dyDescent="0.25">
      <c r="A44" t="str">
        <f>Analyse!AF44</f>
        <v>Pass</v>
      </c>
      <c r="B44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</v>
      </c>
    </row>
    <row r="45" spans="1:2" x14ac:dyDescent="0.25">
      <c r="A45" t="str">
        <f>Analyse!AF45</f>
        <v>Pass</v>
      </c>
      <c r="B45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</v>
      </c>
    </row>
    <row r="46" spans="1:2" x14ac:dyDescent="0.25">
      <c r="A46" t="str">
        <f>Analyse!AF46</f>
        <v>Pass</v>
      </c>
      <c r="B46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</v>
      </c>
    </row>
    <row r="47" spans="1:2" x14ac:dyDescent="0.25">
      <c r="A47" t="str">
        <f>Analyse!AF47</f>
        <v>Fail</v>
      </c>
      <c r="B47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</v>
      </c>
    </row>
    <row r="48" spans="1:2" x14ac:dyDescent="0.25">
      <c r="A48" t="str">
        <f>Analyse!AF48</f>
        <v>Fail</v>
      </c>
      <c r="B48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</v>
      </c>
    </row>
    <row r="49" spans="1:2" x14ac:dyDescent="0.25">
      <c r="A49" t="str">
        <f>Analyse!AF49</f>
        <v>Pass</v>
      </c>
      <c r="B49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</v>
      </c>
    </row>
    <row r="50" spans="1:2" x14ac:dyDescent="0.25">
      <c r="A50" t="str">
        <f>Analyse!AF50</f>
        <v>Fail</v>
      </c>
      <c r="B50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</v>
      </c>
    </row>
    <row r="51" spans="1:2" x14ac:dyDescent="0.25">
      <c r="A51" t="str">
        <f>Analyse!AF51</f>
        <v>Pass</v>
      </c>
      <c r="B51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</v>
      </c>
    </row>
    <row r="52" spans="1:2" x14ac:dyDescent="0.25">
      <c r="A52" t="str">
        <f>Analyse!AF52</f>
        <v>Dropout</v>
      </c>
      <c r="B52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</v>
      </c>
    </row>
    <row r="53" spans="1:2" x14ac:dyDescent="0.25">
      <c r="A53" t="str">
        <f>Analyse!AF53</f>
        <v>Dropout</v>
      </c>
      <c r="B53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</v>
      </c>
    </row>
    <row r="54" spans="1:2" x14ac:dyDescent="0.25">
      <c r="A54" t="str">
        <f>Analyse!AF54</f>
        <v>Pass</v>
      </c>
      <c r="B54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</v>
      </c>
    </row>
    <row r="55" spans="1:2" x14ac:dyDescent="0.25">
      <c r="A55" t="str">
        <f>Analyse!AF55</f>
        <v>Dropout</v>
      </c>
      <c r="B55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</v>
      </c>
    </row>
    <row r="56" spans="1:2" x14ac:dyDescent="0.25">
      <c r="A56" t="str">
        <f>Analyse!AF56</f>
        <v>Dropout</v>
      </c>
      <c r="B56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</v>
      </c>
    </row>
    <row r="57" spans="1:2" x14ac:dyDescent="0.25">
      <c r="A57" t="str">
        <f>Analyse!AF57</f>
        <v>Pass</v>
      </c>
      <c r="B57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</v>
      </c>
    </row>
    <row r="58" spans="1:2" x14ac:dyDescent="0.25">
      <c r="A58" t="str">
        <f>Analyse!AF58</f>
        <v>Dropout</v>
      </c>
      <c r="B58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</v>
      </c>
    </row>
    <row r="59" spans="1:2" x14ac:dyDescent="0.25">
      <c r="A59" t="str">
        <f>Analyse!AF59</f>
        <v>Pass</v>
      </c>
      <c r="B59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</v>
      </c>
    </row>
    <row r="60" spans="1:2" x14ac:dyDescent="0.25">
      <c r="A60" t="str">
        <f>Analyse!AF60</f>
        <v>Dropout</v>
      </c>
      <c r="B60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</v>
      </c>
    </row>
    <row r="61" spans="1:2" x14ac:dyDescent="0.25">
      <c r="A61" t="str">
        <f>Analyse!AF61</f>
        <v>Pass</v>
      </c>
      <c r="B61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</v>
      </c>
    </row>
    <row r="62" spans="1:2" x14ac:dyDescent="0.25">
      <c r="A62" t="str">
        <f>Analyse!AF62</f>
        <v>Dropout</v>
      </c>
      <c r="B62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</v>
      </c>
    </row>
    <row r="63" spans="1:2" x14ac:dyDescent="0.25">
      <c r="A63" t="str">
        <f>Analyse!AF63</f>
        <v>Pass</v>
      </c>
      <c r="B63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</v>
      </c>
    </row>
    <row r="64" spans="1:2" x14ac:dyDescent="0.25">
      <c r="A64" t="str">
        <f>Analyse!AF64</f>
        <v>Fail</v>
      </c>
      <c r="B64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</v>
      </c>
    </row>
    <row r="65" spans="1:2" x14ac:dyDescent="0.25">
      <c r="A65" t="str">
        <f>Analyse!AF65</f>
        <v>Dropout</v>
      </c>
      <c r="B65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</v>
      </c>
    </row>
    <row r="66" spans="1:2" x14ac:dyDescent="0.25">
      <c r="A66" t="str">
        <f>Analyse!AF66</f>
        <v>Pass</v>
      </c>
      <c r="B66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</v>
      </c>
    </row>
    <row r="67" spans="1:2" x14ac:dyDescent="0.25">
      <c r="A67" t="str">
        <f>Analyse!AF67</f>
        <v>Pass</v>
      </c>
      <c r="B67" t="str">
        <f t="shared" si="0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</v>
      </c>
    </row>
    <row r="68" spans="1:2" x14ac:dyDescent="0.25">
      <c r="A68" t="str">
        <f>Analyse!AF68</f>
        <v>Pass</v>
      </c>
      <c r="B68" t="str">
        <f t="shared" ref="B68:B131" si="1">_xlfn.CONCAT(B67,",",A68)</f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</v>
      </c>
    </row>
    <row r="69" spans="1:2" x14ac:dyDescent="0.25">
      <c r="A69" t="str">
        <f>Analyse!AF69</f>
        <v>Dropout</v>
      </c>
      <c r="B69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</v>
      </c>
    </row>
    <row r="70" spans="1:2" x14ac:dyDescent="0.25">
      <c r="A70" t="str">
        <f>Analyse!AF70</f>
        <v>Dropout</v>
      </c>
      <c r="B70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</v>
      </c>
    </row>
    <row r="71" spans="1:2" x14ac:dyDescent="0.25">
      <c r="A71" t="str">
        <f>Analyse!AF71</f>
        <v>Dropout</v>
      </c>
      <c r="B71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</v>
      </c>
    </row>
    <row r="72" spans="1:2" x14ac:dyDescent="0.25">
      <c r="A72" t="str">
        <f>Analyse!AF72</f>
        <v>Pass</v>
      </c>
      <c r="B72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</v>
      </c>
    </row>
    <row r="73" spans="1:2" x14ac:dyDescent="0.25">
      <c r="A73" t="str">
        <f>Analyse!AF73</f>
        <v>Dropout</v>
      </c>
      <c r="B73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</v>
      </c>
    </row>
    <row r="74" spans="1:2" x14ac:dyDescent="0.25">
      <c r="A74" t="str">
        <f>Analyse!AF74</f>
        <v>Pass</v>
      </c>
      <c r="B74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</v>
      </c>
    </row>
    <row r="75" spans="1:2" x14ac:dyDescent="0.25">
      <c r="A75" t="str">
        <f>Analyse!AF75</f>
        <v>Dropout</v>
      </c>
      <c r="B75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</v>
      </c>
    </row>
    <row r="76" spans="1:2" x14ac:dyDescent="0.25">
      <c r="A76" t="str">
        <f>Analyse!AF76</f>
        <v>Dropout</v>
      </c>
      <c r="B76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</v>
      </c>
    </row>
    <row r="77" spans="1:2" x14ac:dyDescent="0.25">
      <c r="A77" t="str">
        <f>Analyse!AF77</f>
        <v>Pass</v>
      </c>
      <c r="B77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</v>
      </c>
    </row>
    <row r="78" spans="1:2" x14ac:dyDescent="0.25">
      <c r="A78" t="str">
        <f>Analyse!AF78</f>
        <v>Pass</v>
      </c>
      <c r="B78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</v>
      </c>
    </row>
    <row r="79" spans="1:2" x14ac:dyDescent="0.25">
      <c r="A79" t="str">
        <f>Analyse!AF79</f>
        <v>Dropout</v>
      </c>
      <c r="B79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</v>
      </c>
    </row>
    <row r="80" spans="1:2" x14ac:dyDescent="0.25">
      <c r="A80" t="str">
        <f>Analyse!AF80</f>
        <v>Pass</v>
      </c>
      <c r="B80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</v>
      </c>
    </row>
    <row r="81" spans="1:2" x14ac:dyDescent="0.25">
      <c r="A81" t="str">
        <f>Analyse!AF81</f>
        <v>Pass</v>
      </c>
      <c r="B81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</v>
      </c>
    </row>
    <row r="82" spans="1:2" x14ac:dyDescent="0.25">
      <c r="A82" t="str">
        <f>Analyse!AF82</f>
        <v>Dropout</v>
      </c>
      <c r="B82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</v>
      </c>
    </row>
    <row r="83" spans="1:2" x14ac:dyDescent="0.25">
      <c r="A83" t="str">
        <f>Analyse!AF83</f>
        <v>Pass</v>
      </c>
      <c r="B83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</v>
      </c>
    </row>
    <row r="84" spans="1:2" x14ac:dyDescent="0.25">
      <c r="A84" t="str">
        <f>Analyse!AF84</f>
        <v>Pass</v>
      </c>
      <c r="B84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</v>
      </c>
    </row>
    <row r="85" spans="1:2" x14ac:dyDescent="0.25">
      <c r="A85" t="str">
        <f>Analyse!AF85</f>
        <v>Dropout</v>
      </c>
      <c r="B85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</v>
      </c>
    </row>
    <row r="86" spans="1:2" x14ac:dyDescent="0.25">
      <c r="A86" t="str">
        <f>Analyse!AF86</f>
        <v>Pass</v>
      </c>
      <c r="B86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</v>
      </c>
    </row>
    <row r="87" spans="1:2" x14ac:dyDescent="0.25">
      <c r="A87" t="str">
        <f>Analyse!AF87</f>
        <v>Dropout</v>
      </c>
      <c r="B87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</v>
      </c>
    </row>
    <row r="88" spans="1:2" x14ac:dyDescent="0.25">
      <c r="A88" t="str">
        <f>Analyse!AF88</f>
        <v>Pass</v>
      </c>
      <c r="B88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</v>
      </c>
    </row>
    <row r="89" spans="1:2" x14ac:dyDescent="0.25">
      <c r="A89" t="str">
        <f>Analyse!AF89</f>
        <v>Dropout</v>
      </c>
      <c r="B89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</v>
      </c>
    </row>
    <row r="90" spans="1:2" x14ac:dyDescent="0.25">
      <c r="A90" t="str">
        <f>Analyse!AF90</f>
        <v>Pass</v>
      </c>
      <c r="B90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</v>
      </c>
    </row>
    <row r="91" spans="1:2" x14ac:dyDescent="0.25">
      <c r="A91" t="str">
        <f>Analyse!AF91</f>
        <v>Pass</v>
      </c>
      <c r="B91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</v>
      </c>
    </row>
    <row r="92" spans="1:2" x14ac:dyDescent="0.25">
      <c r="A92" t="str">
        <f>Analyse!AF92</f>
        <v>Pass</v>
      </c>
      <c r="B92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</v>
      </c>
    </row>
    <row r="93" spans="1:2" x14ac:dyDescent="0.25">
      <c r="A93" t="str">
        <f>Analyse!AF93</f>
        <v>Fail</v>
      </c>
      <c r="B93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</v>
      </c>
    </row>
    <row r="94" spans="1:2" x14ac:dyDescent="0.25">
      <c r="A94" t="str">
        <f>Analyse!AF94</f>
        <v>Dropout</v>
      </c>
      <c r="B94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</v>
      </c>
    </row>
    <row r="95" spans="1:2" x14ac:dyDescent="0.25">
      <c r="A95" t="str">
        <f>Analyse!AF95</f>
        <v>Pass</v>
      </c>
      <c r="B95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</v>
      </c>
    </row>
    <row r="96" spans="1:2" x14ac:dyDescent="0.25">
      <c r="A96" t="str">
        <f>Analyse!AF96</f>
        <v>Dropout</v>
      </c>
      <c r="B96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</v>
      </c>
    </row>
    <row r="97" spans="1:2" x14ac:dyDescent="0.25">
      <c r="A97" t="str">
        <f>Analyse!AF97</f>
        <v>Fail</v>
      </c>
      <c r="B97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</v>
      </c>
    </row>
    <row r="98" spans="1:2" x14ac:dyDescent="0.25">
      <c r="A98" t="str">
        <f>Analyse!AF98</f>
        <v>Dropout</v>
      </c>
      <c r="B98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</v>
      </c>
    </row>
    <row r="99" spans="1:2" x14ac:dyDescent="0.25">
      <c r="A99" t="str">
        <f>Analyse!AF99</f>
        <v>Pass</v>
      </c>
      <c r="B99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</v>
      </c>
    </row>
    <row r="100" spans="1:2" x14ac:dyDescent="0.25">
      <c r="A100" t="str">
        <f>Analyse!AF100</f>
        <v>Fail</v>
      </c>
      <c r="B100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</v>
      </c>
    </row>
    <row r="101" spans="1:2" x14ac:dyDescent="0.25">
      <c r="A101" t="str">
        <f>Analyse!AF101</f>
        <v>Pass</v>
      </c>
      <c r="B101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</v>
      </c>
    </row>
    <row r="102" spans="1:2" x14ac:dyDescent="0.25">
      <c r="A102" t="str">
        <f>Analyse!AF102</f>
        <v>Dropout</v>
      </c>
      <c r="B102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</v>
      </c>
    </row>
    <row r="103" spans="1:2" x14ac:dyDescent="0.25">
      <c r="A103" t="str">
        <f>Analyse!AF103</f>
        <v>Pass</v>
      </c>
      <c r="B103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</v>
      </c>
    </row>
    <row r="104" spans="1:2" x14ac:dyDescent="0.25">
      <c r="A104" t="str">
        <f>Analyse!AF104</f>
        <v>Dropout</v>
      </c>
      <c r="B104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</v>
      </c>
    </row>
    <row r="105" spans="1:2" x14ac:dyDescent="0.25">
      <c r="A105" t="str">
        <f>Analyse!AF105</f>
        <v>Pass</v>
      </c>
      <c r="B105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</v>
      </c>
    </row>
    <row r="106" spans="1:2" x14ac:dyDescent="0.25">
      <c r="A106" t="str">
        <f>Analyse!AF106</f>
        <v>Fail</v>
      </c>
      <c r="B106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</v>
      </c>
    </row>
    <row r="107" spans="1:2" x14ac:dyDescent="0.25">
      <c r="A107" t="str">
        <f>Analyse!AF107</f>
        <v>Dropout</v>
      </c>
      <c r="B107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</v>
      </c>
    </row>
    <row r="108" spans="1:2" x14ac:dyDescent="0.25">
      <c r="A108" t="str">
        <f>Analyse!AF108</f>
        <v>Dropout</v>
      </c>
      <c r="B108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</v>
      </c>
    </row>
    <row r="109" spans="1:2" x14ac:dyDescent="0.25">
      <c r="A109" t="str">
        <f>Analyse!AF109</f>
        <v>Pass</v>
      </c>
      <c r="B109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</v>
      </c>
    </row>
    <row r="110" spans="1:2" x14ac:dyDescent="0.25">
      <c r="A110" t="str">
        <f>Analyse!AF110</f>
        <v>Pass</v>
      </c>
      <c r="B110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</v>
      </c>
    </row>
    <row r="111" spans="1:2" x14ac:dyDescent="0.25">
      <c r="A111" t="str">
        <f>Analyse!AF111</f>
        <v>Dropout</v>
      </c>
      <c r="B111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</v>
      </c>
    </row>
    <row r="112" spans="1:2" x14ac:dyDescent="0.25">
      <c r="A112" t="str">
        <f>Analyse!AF112</f>
        <v>Fail</v>
      </c>
      <c r="B112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</v>
      </c>
    </row>
    <row r="113" spans="1:2" x14ac:dyDescent="0.25">
      <c r="A113" t="str">
        <f>Analyse!AF113</f>
        <v>Pass</v>
      </c>
      <c r="B113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</v>
      </c>
    </row>
    <row r="114" spans="1:2" x14ac:dyDescent="0.25">
      <c r="A114" t="str">
        <f>Analyse!AF114</f>
        <v>Pass</v>
      </c>
      <c r="B114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</v>
      </c>
    </row>
    <row r="115" spans="1:2" x14ac:dyDescent="0.25">
      <c r="A115" t="str">
        <f>Analyse!AF115</f>
        <v>Fail</v>
      </c>
      <c r="B115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</v>
      </c>
    </row>
    <row r="116" spans="1:2" x14ac:dyDescent="0.25">
      <c r="A116" t="str">
        <f>Analyse!AF116</f>
        <v>Pass</v>
      </c>
      <c r="B116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</v>
      </c>
    </row>
    <row r="117" spans="1:2" x14ac:dyDescent="0.25">
      <c r="A117" t="str">
        <f>Analyse!AF117</f>
        <v>Pass</v>
      </c>
      <c r="B117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</v>
      </c>
    </row>
    <row r="118" spans="1:2" x14ac:dyDescent="0.25">
      <c r="A118" t="str">
        <f>Analyse!AF118</f>
        <v>Fail</v>
      </c>
      <c r="B118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</v>
      </c>
    </row>
    <row r="119" spans="1:2" x14ac:dyDescent="0.25">
      <c r="A119" t="str">
        <f>Analyse!AF119</f>
        <v>Dropout</v>
      </c>
      <c r="B119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</v>
      </c>
    </row>
    <row r="120" spans="1:2" x14ac:dyDescent="0.25">
      <c r="A120" t="str">
        <f>Analyse!AF120</f>
        <v>Pass</v>
      </c>
      <c r="B120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</v>
      </c>
    </row>
    <row r="121" spans="1:2" x14ac:dyDescent="0.25">
      <c r="A121" t="str">
        <f>Analyse!AF121</f>
        <v>Pass</v>
      </c>
      <c r="B121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</v>
      </c>
    </row>
    <row r="122" spans="1:2" x14ac:dyDescent="0.25">
      <c r="A122" t="str">
        <f>Analyse!AF122</f>
        <v>Dropout</v>
      </c>
      <c r="B122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</v>
      </c>
    </row>
    <row r="123" spans="1:2" x14ac:dyDescent="0.25">
      <c r="A123" t="str">
        <f>Analyse!AF123</f>
        <v>Pass</v>
      </c>
      <c r="B123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</v>
      </c>
    </row>
    <row r="124" spans="1:2" x14ac:dyDescent="0.25">
      <c r="A124" t="str">
        <f>Analyse!AF124</f>
        <v>Dropout</v>
      </c>
      <c r="B124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</v>
      </c>
    </row>
    <row r="125" spans="1:2" x14ac:dyDescent="0.25">
      <c r="A125" t="str">
        <f>Analyse!AF125</f>
        <v>Dropout</v>
      </c>
      <c r="B125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</v>
      </c>
    </row>
    <row r="126" spans="1:2" x14ac:dyDescent="0.25">
      <c r="A126" t="str">
        <f>Analyse!AF126</f>
        <v>Pass</v>
      </c>
      <c r="B126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</v>
      </c>
    </row>
    <row r="127" spans="1:2" x14ac:dyDescent="0.25">
      <c r="A127" t="str">
        <f>Analyse!AF127</f>
        <v>Dropout</v>
      </c>
      <c r="B127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</v>
      </c>
    </row>
    <row r="128" spans="1:2" x14ac:dyDescent="0.25">
      <c r="A128" t="str">
        <f>Analyse!AF128</f>
        <v>Dropout</v>
      </c>
      <c r="B128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</v>
      </c>
    </row>
    <row r="129" spans="1:2" x14ac:dyDescent="0.25">
      <c r="A129" t="str">
        <f>Analyse!AF129</f>
        <v>Pass</v>
      </c>
      <c r="B129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</v>
      </c>
    </row>
    <row r="130" spans="1:2" x14ac:dyDescent="0.25">
      <c r="A130" t="str">
        <f>Analyse!AF130</f>
        <v>Pass</v>
      </c>
      <c r="B130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</v>
      </c>
    </row>
    <row r="131" spans="1:2" x14ac:dyDescent="0.25">
      <c r="A131" t="str">
        <f>Analyse!AF131</f>
        <v>Dropout</v>
      </c>
      <c r="B131" t="str">
        <f t="shared" si="1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</v>
      </c>
    </row>
    <row r="132" spans="1:2" x14ac:dyDescent="0.25">
      <c r="A132" t="str">
        <f>Analyse!AF132</f>
        <v>Pass</v>
      </c>
      <c r="B132" t="str">
        <f t="shared" ref="B132:B195" si="2">_xlfn.CONCAT(B131,",",A132)</f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</v>
      </c>
    </row>
    <row r="133" spans="1:2" x14ac:dyDescent="0.25">
      <c r="A133" t="str">
        <f>Analyse!AF133</f>
        <v>Dropout</v>
      </c>
      <c r="B133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</v>
      </c>
    </row>
    <row r="134" spans="1:2" x14ac:dyDescent="0.25">
      <c r="A134" t="str">
        <f>Analyse!AF134</f>
        <v>Dropout</v>
      </c>
      <c r="B134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</v>
      </c>
    </row>
    <row r="135" spans="1:2" x14ac:dyDescent="0.25">
      <c r="A135" t="str">
        <f>Analyse!AF135</f>
        <v>Pass</v>
      </c>
      <c r="B135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</v>
      </c>
    </row>
    <row r="136" spans="1:2" x14ac:dyDescent="0.25">
      <c r="A136" t="str">
        <f>Analyse!AF136</f>
        <v>Dropout</v>
      </c>
      <c r="B136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</v>
      </c>
    </row>
    <row r="137" spans="1:2" x14ac:dyDescent="0.25">
      <c r="A137" t="str">
        <f>Analyse!AF137</f>
        <v>Pass</v>
      </c>
      <c r="B137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</v>
      </c>
    </row>
    <row r="138" spans="1:2" x14ac:dyDescent="0.25">
      <c r="A138" t="str">
        <f>Analyse!AF138</f>
        <v>Pass</v>
      </c>
      <c r="B138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</v>
      </c>
    </row>
    <row r="139" spans="1:2" x14ac:dyDescent="0.25">
      <c r="A139" t="str">
        <f>Analyse!AF139</f>
        <v>Dropout</v>
      </c>
      <c r="B139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</v>
      </c>
    </row>
    <row r="140" spans="1:2" x14ac:dyDescent="0.25">
      <c r="A140" t="str">
        <f>Analyse!AF140</f>
        <v>Pass</v>
      </c>
      <c r="B140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</v>
      </c>
    </row>
    <row r="141" spans="1:2" x14ac:dyDescent="0.25">
      <c r="A141" t="str">
        <f>Analyse!AF141</f>
        <v>Dropout</v>
      </c>
      <c r="B141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</v>
      </c>
    </row>
    <row r="142" spans="1:2" x14ac:dyDescent="0.25">
      <c r="A142" t="str">
        <f>Analyse!AF142</f>
        <v>Pass</v>
      </c>
      <c r="B142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</v>
      </c>
    </row>
    <row r="143" spans="1:2" x14ac:dyDescent="0.25">
      <c r="A143" t="str">
        <f>Analyse!AF143</f>
        <v>Dropout</v>
      </c>
      <c r="B143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</v>
      </c>
    </row>
    <row r="144" spans="1:2" x14ac:dyDescent="0.25">
      <c r="A144" t="str">
        <f>Analyse!AF144</f>
        <v>Pass</v>
      </c>
      <c r="B144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</v>
      </c>
    </row>
    <row r="145" spans="1:2" x14ac:dyDescent="0.25">
      <c r="A145" t="str">
        <f>Analyse!AF145</f>
        <v>Dropout</v>
      </c>
      <c r="B145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</v>
      </c>
    </row>
    <row r="146" spans="1:2" x14ac:dyDescent="0.25">
      <c r="A146" t="str">
        <f>Analyse!AF146</f>
        <v>Pass</v>
      </c>
      <c r="B146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</v>
      </c>
    </row>
    <row r="147" spans="1:2" x14ac:dyDescent="0.25">
      <c r="A147" t="str">
        <f>Analyse!AF147</f>
        <v>Dropout</v>
      </c>
      <c r="B147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</v>
      </c>
    </row>
    <row r="148" spans="1:2" x14ac:dyDescent="0.25">
      <c r="A148" t="str">
        <f>Analyse!AF148</f>
        <v>Pass</v>
      </c>
      <c r="B148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</v>
      </c>
    </row>
    <row r="149" spans="1:2" x14ac:dyDescent="0.25">
      <c r="A149" t="str">
        <f>Analyse!AF149</f>
        <v>Pass</v>
      </c>
      <c r="B149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</v>
      </c>
    </row>
    <row r="150" spans="1:2" x14ac:dyDescent="0.25">
      <c r="A150" t="str">
        <f>Analyse!AF150</f>
        <v>Dropout</v>
      </c>
      <c r="B150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</v>
      </c>
    </row>
    <row r="151" spans="1:2" x14ac:dyDescent="0.25">
      <c r="A151" t="str">
        <f>Analyse!AF151</f>
        <v>Pass</v>
      </c>
      <c r="B151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</v>
      </c>
    </row>
    <row r="152" spans="1:2" x14ac:dyDescent="0.25">
      <c r="A152" t="str">
        <f>Analyse!AF152</f>
        <v>Dropout</v>
      </c>
      <c r="B152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</v>
      </c>
    </row>
    <row r="153" spans="1:2" x14ac:dyDescent="0.25">
      <c r="A153" t="str">
        <f>Analyse!AF153</f>
        <v>Pass</v>
      </c>
      <c r="B153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</v>
      </c>
    </row>
    <row r="154" spans="1:2" x14ac:dyDescent="0.25">
      <c r="A154" t="str">
        <f>Analyse!AF154</f>
        <v>Pass</v>
      </c>
      <c r="B154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</v>
      </c>
    </row>
    <row r="155" spans="1:2" x14ac:dyDescent="0.25">
      <c r="A155" t="str">
        <f>Analyse!AF155</f>
        <v>Fail</v>
      </c>
      <c r="B155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</v>
      </c>
    </row>
    <row r="156" spans="1:2" x14ac:dyDescent="0.25">
      <c r="A156" t="str">
        <f>Analyse!AF156</f>
        <v>Pass</v>
      </c>
      <c r="B156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</v>
      </c>
    </row>
    <row r="157" spans="1:2" x14ac:dyDescent="0.25">
      <c r="A157" t="str">
        <f>Analyse!AF157</f>
        <v>Pass</v>
      </c>
      <c r="B157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</v>
      </c>
    </row>
    <row r="158" spans="1:2" x14ac:dyDescent="0.25">
      <c r="A158" t="str">
        <f>Analyse!AF158</f>
        <v>Fail</v>
      </c>
      <c r="B158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</v>
      </c>
    </row>
    <row r="159" spans="1:2" x14ac:dyDescent="0.25">
      <c r="A159" t="str">
        <f>Analyse!AF159</f>
        <v>Pass</v>
      </c>
      <c r="B159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</v>
      </c>
    </row>
    <row r="160" spans="1:2" x14ac:dyDescent="0.25">
      <c r="A160" t="str">
        <f>Analyse!AF160</f>
        <v>Dropout</v>
      </c>
      <c r="B160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</v>
      </c>
    </row>
    <row r="161" spans="1:2" x14ac:dyDescent="0.25">
      <c r="A161" t="str">
        <f>Analyse!AF161</f>
        <v>Fail</v>
      </c>
      <c r="B161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</v>
      </c>
    </row>
    <row r="162" spans="1:2" x14ac:dyDescent="0.25">
      <c r="A162" t="str">
        <f>Analyse!AF162</f>
        <v>Pass</v>
      </c>
      <c r="B162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</v>
      </c>
    </row>
    <row r="163" spans="1:2" x14ac:dyDescent="0.25">
      <c r="A163" t="str">
        <f>Analyse!AF163</f>
        <v>Dropout</v>
      </c>
      <c r="B163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</v>
      </c>
    </row>
    <row r="164" spans="1:2" x14ac:dyDescent="0.25">
      <c r="A164" t="str">
        <f>Analyse!AF164</f>
        <v>Pass</v>
      </c>
      <c r="B164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</v>
      </c>
    </row>
    <row r="165" spans="1:2" x14ac:dyDescent="0.25">
      <c r="A165" t="str">
        <f>Analyse!AF165</f>
        <v>Dropout</v>
      </c>
      <c r="B165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</v>
      </c>
    </row>
    <row r="166" spans="1:2" x14ac:dyDescent="0.25">
      <c r="A166" t="str">
        <f>Analyse!AF166</f>
        <v>Pass</v>
      </c>
      <c r="B166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</v>
      </c>
    </row>
    <row r="167" spans="1:2" x14ac:dyDescent="0.25">
      <c r="A167" t="str">
        <f>Analyse!AF167</f>
        <v>Pass</v>
      </c>
      <c r="B167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</v>
      </c>
    </row>
    <row r="168" spans="1:2" x14ac:dyDescent="0.25">
      <c r="A168" t="str">
        <f>Analyse!AF168</f>
        <v>Pass</v>
      </c>
      <c r="B168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</v>
      </c>
    </row>
    <row r="169" spans="1:2" x14ac:dyDescent="0.25">
      <c r="A169" t="str">
        <f>Analyse!AF169</f>
        <v>Dropout</v>
      </c>
      <c r="B169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</v>
      </c>
    </row>
    <row r="170" spans="1:2" x14ac:dyDescent="0.25">
      <c r="A170" t="str">
        <f>Analyse!AF170</f>
        <v>Pass</v>
      </c>
      <c r="B170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</v>
      </c>
    </row>
    <row r="171" spans="1:2" x14ac:dyDescent="0.25">
      <c r="A171" t="str">
        <f>Analyse!AF171</f>
        <v>Dropout</v>
      </c>
      <c r="B171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</v>
      </c>
    </row>
    <row r="172" spans="1:2" x14ac:dyDescent="0.25">
      <c r="A172" t="str">
        <f>Analyse!AF172</f>
        <v>Pass</v>
      </c>
      <c r="B172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</v>
      </c>
    </row>
    <row r="173" spans="1:2" x14ac:dyDescent="0.25">
      <c r="A173" t="str">
        <f>Analyse!AF173</f>
        <v>Dropout</v>
      </c>
      <c r="B173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</v>
      </c>
    </row>
    <row r="174" spans="1:2" x14ac:dyDescent="0.25">
      <c r="A174" t="str">
        <f>Analyse!AF174</f>
        <v>Pass</v>
      </c>
      <c r="B174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</v>
      </c>
    </row>
    <row r="175" spans="1:2" x14ac:dyDescent="0.25">
      <c r="A175" t="str">
        <f>Analyse!AF175</f>
        <v>Pass</v>
      </c>
      <c r="B175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</v>
      </c>
    </row>
    <row r="176" spans="1:2" x14ac:dyDescent="0.25">
      <c r="A176" t="str">
        <f>Analyse!AF176</f>
        <v>Dropout</v>
      </c>
      <c r="B176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</v>
      </c>
    </row>
    <row r="177" spans="1:2" x14ac:dyDescent="0.25">
      <c r="A177" t="str">
        <f>Analyse!AF177</f>
        <v>Dropout</v>
      </c>
      <c r="B177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</v>
      </c>
    </row>
    <row r="178" spans="1:2" x14ac:dyDescent="0.25">
      <c r="A178" t="str">
        <f>Analyse!AF178</f>
        <v>Dropout</v>
      </c>
      <c r="B178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</v>
      </c>
    </row>
    <row r="179" spans="1:2" x14ac:dyDescent="0.25">
      <c r="A179" t="str">
        <f>Analyse!AF179</f>
        <v>Pass</v>
      </c>
      <c r="B179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</v>
      </c>
    </row>
    <row r="180" spans="1:2" x14ac:dyDescent="0.25">
      <c r="A180" t="str">
        <f>Analyse!AF180</f>
        <v>Pass</v>
      </c>
      <c r="B180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</v>
      </c>
    </row>
    <row r="181" spans="1:2" x14ac:dyDescent="0.25">
      <c r="A181" t="str">
        <f>Analyse!AF181</f>
        <v>Pass</v>
      </c>
      <c r="B181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</v>
      </c>
    </row>
    <row r="182" spans="1:2" x14ac:dyDescent="0.25">
      <c r="A182" t="str">
        <f>Analyse!AF182</f>
        <v>Dropout</v>
      </c>
      <c r="B182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</v>
      </c>
    </row>
    <row r="183" spans="1:2" x14ac:dyDescent="0.25">
      <c r="A183" t="str">
        <f>Analyse!AF183</f>
        <v>Pass</v>
      </c>
      <c r="B183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</v>
      </c>
    </row>
    <row r="184" spans="1:2" x14ac:dyDescent="0.25">
      <c r="A184" t="str">
        <f>Analyse!AF184</f>
        <v>Pass</v>
      </c>
      <c r="B184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</v>
      </c>
    </row>
    <row r="185" spans="1:2" x14ac:dyDescent="0.25">
      <c r="A185" t="str">
        <f>Analyse!AF185</f>
        <v>Pass</v>
      </c>
      <c r="B185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</v>
      </c>
    </row>
    <row r="186" spans="1:2" x14ac:dyDescent="0.25">
      <c r="A186" t="str">
        <f>Analyse!AF186</f>
        <v>Fail</v>
      </c>
      <c r="B186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</v>
      </c>
    </row>
    <row r="187" spans="1:2" x14ac:dyDescent="0.25">
      <c r="A187" t="str">
        <f>Analyse!AF187</f>
        <v>Dropout</v>
      </c>
      <c r="B187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</v>
      </c>
    </row>
    <row r="188" spans="1:2" x14ac:dyDescent="0.25">
      <c r="A188" t="str">
        <f>Analyse!AF188</f>
        <v>Pass</v>
      </c>
      <c r="B188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</v>
      </c>
    </row>
    <row r="189" spans="1:2" x14ac:dyDescent="0.25">
      <c r="A189" t="str">
        <f>Analyse!AF189</f>
        <v>Pass</v>
      </c>
      <c r="B189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</v>
      </c>
    </row>
    <row r="190" spans="1:2" x14ac:dyDescent="0.25">
      <c r="A190" t="str">
        <f>Analyse!AF190</f>
        <v>Dropout</v>
      </c>
      <c r="B190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</v>
      </c>
    </row>
    <row r="191" spans="1:2" x14ac:dyDescent="0.25">
      <c r="A191" t="str">
        <f>Analyse!AF191</f>
        <v>Pass</v>
      </c>
      <c r="B191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</v>
      </c>
    </row>
    <row r="192" spans="1:2" x14ac:dyDescent="0.25">
      <c r="A192" t="str">
        <f>Analyse!AF192</f>
        <v>Pass</v>
      </c>
      <c r="B192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</v>
      </c>
    </row>
    <row r="193" spans="1:2" x14ac:dyDescent="0.25">
      <c r="A193" t="str">
        <f>Analyse!AF193</f>
        <v>Pass</v>
      </c>
      <c r="B193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,Pass</v>
      </c>
    </row>
    <row r="194" spans="1:2" x14ac:dyDescent="0.25">
      <c r="A194" t="str">
        <f>Analyse!AF194</f>
        <v>Dropout</v>
      </c>
      <c r="B194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,Pass,Dropout</v>
      </c>
    </row>
    <row r="195" spans="1:2" x14ac:dyDescent="0.25">
      <c r="A195" t="str">
        <f>Analyse!AF195</f>
        <v>Pass</v>
      </c>
      <c r="B195" t="str">
        <f t="shared" si="2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,Pass,Dropout,Pass</v>
      </c>
    </row>
    <row r="196" spans="1:2" x14ac:dyDescent="0.25">
      <c r="A196" t="str">
        <f>Analyse!AF196</f>
        <v>Pass</v>
      </c>
      <c r="B196" t="str">
        <f t="shared" ref="B196:B201" si="3">_xlfn.CONCAT(B195,",",A196)</f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,Pass,Dropout,Pass,Pass</v>
      </c>
    </row>
    <row r="197" spans="1:2" x14ac:dyDescent="0.25">
      <c r="A197" t="str">
        <f>Analyse!AF197</f>
        <v>Pass</v>
      </c>
      <c r="B197" t="str">
        <f t="shared" si="3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,Pass,Dropout,Pass,Pass,Pass</v>
      </c>
    </row>
    <row r="198" spans="1:2" x14ac:dyDescent="0.25">
      <c r="A198" t="str">
        <f>Analyse!AF198</f>
        <v>Pass</v>
      </c>
      <c r="B198" t="str">
        <f t="shared" si="3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,Pass,Dropout,Pass,Pass,Pass,Pass</v>
      </c>
    </row>
    <row r="199" spans="1:2" x14ac:dyDescent="0.25">
      <c r="A199" t="str">
        <f>Analyse!AF199</f>
        <v>Dropout</v>
      </c>
      <c r="B199" t="str">
        <f t="shared" si="3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,Pass,Dropout,Pass,Pass,Pass,Pass,Dropout</v>
      </c>
    </row>
    <row r="200" spans="1:2" x14ac:dyDescent="0.25">
      <c r="A200" t="str">
        <f>Analyse!AF200</f>
        <v>Pass</v>
      </c>
      <c r="B200" t="str">
        <f t="shared" si="3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,Pass,Dropout,Pass,Pass,Pass,Pass,Dropout,Pass</v>
      </c>
    </row>
    <row r="201" spans="1:2" x14ac:dyDescent="0.25">
      <c r="A201" t="str">
        <f>Analyse!AF201</f>
        <v>Dropout</v>
      </c>
      <c r="B201" t="str">
        <f t="shared" si="3"/>
        <v>Dropout,Dropout,Pass,Pass,Dropout,Dropout,Dropout,Pass,Pass,Dropout,Pass,Pass,Pass,Dropout,Pass,Pass,Dropout,Pass,Dropout,Pass,Dropout,Pass,Dropout,Dropout,Pass,Pass,Fail,Dropout,Pass,Fail,Dropout,Pass,Dropout,Dropout,Pass,Pass,Dropout,Pass,Pass,Fail,Pass,Dropout,Pass,Pass,Pass,Fail,Fail,Pass,Fail,Pass,Dropout,Dropout,Pass,Dropout,Dropout,Pass,Dropout,Pass,Dropout,Pass,Dropout,Pass,Fail,Dropout,Pass,Pass,Pass,Dropout,Dropout,Dropout,Pass,Dropout,Pass,Dropout,Dropout,Pass,Pass,Dropout,Pass,Pass,Dropout,Pass,Pass,Dropout,Pass,Dropout,Pass,Dropout,Pass,Pass,Pass,Fail,Dropout,Pass,Dropout,Fail,Dropout,Pass,Fail,Pass,Dropout,Pass,Dropout,Pass,Fail,Dropout,Dropout,Pass,Pass,Dropout,Fail,Pass,Pass,Fail,Pass,Pass,Fail,Dropout,Pass,Pass,Dropout,Pass,Dropout,Dropout,Pass,Dropout,Dropout,Pass,Pass,Dropout,Pass,Dropout,Dropout,Pass,Dropout,Pass,Pass,Dropout,Pass,Dropout,Pass,Dropout,Pass,Dropout,Pass,Dropout,Pass,Pass,Dropout,Pass,Dropout,Pass,Pass,Fail,Pass,Pass,Fail,Pass,Dropout,Fail,Pass,Dropout,Pass,Dropout,Pass,Pass,Pass,Dropout,Pass,Dropout,Pass,Dropout,Pass,Pass,Dropout,Dropout,Dropout,Pass,Pass,Pass,Dropout,Pass,Pass,Pass,Fail,Dropout,Pass,Pass,Dropout,Pass,Pass,Pass,Dropout,Pass,Pass,Pass,Pass,Dropout,Pass,Dropou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52BB-1588-4781-B66A-8B97CA00F8DD}">
  <sheetPr filterMode="1"/>
  <dimension ref="A1:AI201"/>
  <sheetViews>
    <sheetView tabSelected="1" topLeftCell="C75" zoomScale="70" zoomScaleNormal="70" workbookViewId="0">
      <selection activeCell="AH187" sqref="AH187"/>
    </sheetView>
  </sheetViews>
  <sheetFormatPr baseColWidth="10" defaultRowHeight="15" x14ac:dyDescent="0.25"/>
  <cols>
    <col min="3" max="3" width="16.5703125" customWidth="1"/>
    <col min="33" max="33" width="5.28515625" customWidth="1"/>
    <col min="35" max="35" width="14.42578125" customWidth="1"/>
  </cols>
  <sheetData>
    <row r="1" spans="1:35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H1" t="s">
        <v>21</v>
      </c>
      <c r="AI1" t="s">
        <v>22</v>
      </c>
    </row>
    <row r="2" spans="1:35" hidden="1" x14ac:dyDescent="0.25">
      <c r="A2">
        <v>0</v>
      </c>
      <c r="B2">
        <v>3</v>
      </c>
      <c r="C2" t="s">
        <v>4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</row>
    <row r="3" spans="1:35" x14ac:dyDescent="0.25">
      <c r="A3">
        <v>1</v>
      </c>
      <c r="B3">
        <v>4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H3">
        <v>1</v>
      </c>
    </row>
    <row r="4" spans="1:35" hidden="1" x14ac:dyDescent="0.25">
      <c r="A4">
        <v>2</v>
      </c>
      <c r="B4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H4">
        <v>1</v>
      </c>
    </row>
    <row r="5" spans="1:35" hidden="1" x14ac:dyDescent="0.25">
      <c r="A5">
        <v>3</v>
      </c>
      <c r="B5">
        <v>12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H5">
        <v>1</v>
      </c>
    </row>
    <row r="6" spans="1:35" hidden="1" x14ac:dyDescent="0.25">
      <c r="A6">
        <v>4</v>
      </c>
      <c r="B6">
        <v>13</v>
      </c>
      <c r="C6" t="s">
        <v>4</v>
      </c>
      <c r="D6" t="s">
        <v>3</v>
      </c>
      <c r="E6" t="s">
        <v>3</v>
      </c>
      <c r="F6" t="s">
        <v>3</v>
      </c>
      <c r="G6" t="s">
        <v>3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3</v>
      </c>
      <c r="AF6" t="s">
        <v>3</v>
      </c>
    </row>
    <row r="7" spans="1:35" hidden="1" x14ac:dyDescent="0.25">
      <c r="A7">
        <v>5</v>
      </c>
      <c r="B7">
        <v>25</v>
      </c>
      <c r="C7" t="s">
        <v>5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5</v>
      </c>
      <c r="S7" t="s">
        <v>5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</row>
    <row r="8" spans="1:35" x14ac:dyDescent="0.25">
      <c r="A8">
        <v>6</v>
      </c>
      <c r="B8">
        <v>40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H8">
        <v>1</v>
      </c>
    </row>
    <row r="9" spans="1:35" hidden="1" x14ac:dyDescent="0.25">
      <c r="A9">
        <v>7</v>
      </c>
      <c r="B9">
        <v>55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H9">
        <v>1</v>
      </c>
    </row>
    <row r="10" spans="1:35" hidden="1" x14ac:dyDescent="0.25">
      <c r="A10">
        <v>8</v>
      </c>
      <c r="B10">
        <v>60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H10">
        <v>1</v>
      </c>
    </row>
    <row r="11" spans="1:35" x14ac:dyDescent="0.25">
      <c r="A11">
        <v>9</v>
      </c>
      <c r="B11">
        <v>70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5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H11">
        <v>1</v>
      </c>
    </row>
    <row r="12" spans="1:35" hidden="1" x14ac:dyDescent="0.25">
      <c r="A12">
        <v>10</v>
      </c>
      <c r="B12">
        <v>72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</row>
    <row r="13" spans="1:35" hidden="1" x14ac:dyDescent="0.25">
      <c r="A13">
        <v>11</v>
      </c>
      <c r="B13">
        <v>85</v>
      </c>
      <c r="C13" t="s">
        <v>5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H13">
        <v>9</v>
      </c>
    </row>
    <row r="14" spans="1:35" hidden="1" x14ac:dyDescent="0.25">
      <c r="A14">
        <v>12</v>
      </c>
      <c r="B14">
        <v>106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</row>
    <row r="15" spans="1:35" x14ac:dyDescent="0.25">
      <c r="A15">
        <v>13</v>
      </c>
      <c r="B15">
        <v>113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H15">
        <v>1</v>
      </c>
    </row>
    <row r="16" spans="1:35" hidden="1" x14ac:dyDescent="0.25">
      <c r="A16">
        <v>14</v>
      </c>
      <c r="B16">
        <v>131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H16">
        <v>1</v>
      </c>
    </row>
    <row r="17" spans="1:34" hidden="1" x14ac:dyDescent="0.25">
      <c r="A17">
        <v>15</v>
      </c>
      <c r="B17">
        <v>154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3</v>
      </c>
      <c r="AB17" t="s">
        <v>5</v>
      </c>
      <c r="AC17" t="s">
        <v>3</v>
      </c>
      <c r="AD17" t="s">
        <v>3</v>
      </c>
      <c r="AE17" t="s">
        <v>3</v>
      </c>
      <c r="AF17" t="s">
        <v>5</v>
      </c>
    </row>
    <row r="18" spans="1:34" x14ac:dyDescent="0.25">
      <c r="A18">
        <v>16</v>
      </c>
      <c r="B18">
        <v>161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H18">
        <v>1</v>
      </c>
    </row>
    <row r="19" spans="1:34" hidden="1" x14ac:dyDescent="0.25">
      <c r="A19">
        <v>17</v>
      </c>
      <c r="B19">
        <v>172</v>
      </c>
      <c r="C19" t="s">
        <v>5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H19">
        <v>1</v>
      </c>
    </row>
    <row r="20" spans="1:34" x14ac:dyDescent="0.25">
      <c r="A20">
        <v>18</v>
      </c>
      <c r="B20">
        <v>209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H20">
        <v>1</v>
      </c>
    </row>
    <row r="21" spans="1:34" hidden="1" x14ac:dyDescent="0.25">
      <c r="A21">
        <v>19</v>
      </c>
      <c r="B21">
        <v>219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H21">
        <v>1</v>
      </c>
    </row>
    <row r="22" spans="1:34" x14ac:dyDescent="0.25">
      <c r="A22">
        <v>20</v>
      </c>
      <c r="B22">
        <v>255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H22">
        <v>1</v>
      </c>
    </row>
    <row r="23" spans="1:34" hidden="1" x14ac:dyDescent="0.25">
      <c r="A23">
        <v>21</v>
      </c>
      <c r="B23">
        <v>266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H23">
        <v>1</v>
      </c>
    </row>
    <row r="24" spans="1:34" hidden="1" x14ac:dyDescent="0.25">
      <c r="A24">
        <v>22</v>
      </c>
      <c r="B24">
        <v>273</v>
      </c>
      <c r="C24" t="s">
        <v>4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</row>
    <row r="25" spans="1:34" hidden="1" x14ac:dyDescent="0.25">
      <c r="A25">
        <v>23</v>
      </c>
      <c r="B25">
        <v>306</v>
      </c>
      <c r="C25" t="s">
        <v>4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</row>
    <row r="26" spans="1:34" hidden="1" x14ac:dyDescent="0.25">
      <c r="A26">
        <v>24</v>
      </c>
      <c r="B26">
        <v>317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H26">
        <v>1</v>
      </c>
    </row>
    <row r="27" spans="1:34" hidden="1" x14ac:dyDescent="0.25">
      <c r="A27">
        <v>25</v>
      </c>
      <c r="B27">
        <v>327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H27">
        <v>1</v>
      </c>
    </row>
    <row r="28" spans="1:34" hidden="1" x14ac:dyDescent="0.25">
      <c r="A28">
        <v>26</v>
      </c>
      <c r="B28">
        <v>330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5</v>
      </c>
      <c r="M28" t="s">
        <v>5</v>
      </c>
      <c r="N28" t="s">
        <v>5</v>
      </c>
      <c r="O28" t="s">
        <v>5</v>
      </c>
      <c r="P28" t="s">
        <v>4</v>
      </c>
      <c r="Q28" t="s">
        <v>4</v>
      </c>
      <c r="R28" t="s">
        <v>5</v>
      </c>
      <c r="S28" t="s">
        <v>5</v>
      </c>
      <c r="T28" t="s">
        <v>5</v>
      </c>
      <c r="U28" t="s">
        <v>5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</row>
    <row r="29" spans="1:34" x14ac:dyDescent="0.25">
      <c r="A29">
        <v>27</v>
      </c>
      <c r="B29">
        <v>355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H29">
        <v>1</v>
      </c>
    </row>
    <row r="30" spans="1:34" hidden="1" x14ac:dyDescent="0.25">
      <c r="A30">
        <v>28</v>
      </c>
      <c r="B30">
        <v>368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H30">
        <v>1</v>
      </c>
    </row>
    <row r="31" spans="1:34" hidden="1" x14ac:dyDescent="0.25">
      <c r="A31">
        <v>29</v>
      </c>
      <c r="B31">
        <v>381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3</v>
      </c>
      <c r="T31" t="s">
        <v>4</v>
      </c>
      <c r="U31" t="s">
        <v>3</v>
      </c>
      <c r="V31" t="s">
        <v>4</v>
      </c>
      <c r="W31" t="s">
        <v>4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4</v>
      </c>
      <c r="AE31" t="s">
        <v>3</v>
      </c>
      <c r="AF31" t="s">
        <v>4</v>
      </c>
    </row>
    <row r="32" spans="1:34" hidden="1" x14ac:dyDescent="0.25">
      <c r="A32">
        <v>30</v>
      </c>
      <c r="B32">
        <v>411</v>
      </c>
      <c r="C32" t="s">
        <v>4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5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</row>
    <row r="33" spans="1:34" hidden="1" x14ac:dyDescent="0.25">
      <c r="A33">
        <v>31</v>
      </c>
      <c r="B33">
        <v>413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H33">
        <v>1</v>
      </c>
    </row>
    <row r="34" spans="1:34" x14ac:dyDescent="0.25">
      <c r="A34">
        <v>32</v>
      </c>
      <c r="B34">
        <v>425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H34">
        <v>1</v>
      </c>
    </row>
    <row r="35" spans="1:34" x14ac:dyDescent="0.25">
      <c r="A35">
        <v>33</v>
      </c>
      <c r="B35">
        <v>456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H35">
        <v>1</v>
      </c>
    </row>
    <row r="36" spans="1:34" hidden="1" x14ac:dyDescent="0.25">
      <c r="A36">
        <v>34</v>
      </c>
      <c r="B36">
        <v>463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</row>
    <row r="37" spans="1:34" hidden="1" x14ac:dyDescent="0.25">
      <c r="A37">
        <v>35</v>
      </c>
      <c r="B37">
        <v>470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H37">
        <v>1</v>
      </c>
    </row>
    <row r="38" spans="1:34" x14ac:dyDescent="0.25">
      <c r="A38">
        <v>36</v>
      </c>
      <c r="B38">
        <v>504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H38">
        <v>1</v>
      </c>
    </row>
    <row r="39" spans="1:34" hidden="1" x14ac:dyDescent="0.25">
      <c r="A39">
        <v>37</v>
      </c>
      <c r="B39">
        <v>510</v>
      </c>
      <c r="C39" t="s">
        <v>5</v>
      </c>
      <c r="D39" t="s">
        <v>3</v>
      </c>
      <c r="E39" t="s">
        <v>3</v>
      </c>
      <c r="F39" t="s">
        <v>3</v>
      </c>
      <c r="G39" t="s">
        <v>3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H39">
        <v>15</v>
      </c>
    </row>
    <row r="40" spans="1:34" hidden="1" x14ac:dyDescent="0.25">
      <c r="A40">
        <v>38</v>
      </c>
      <c r="B40">
        <v>532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</row>
    <row r="41" spans="1:34" hidden="1" x14ac:dyDescent="0.25">
      <c r="A41">
        <v>39</v>
      </c>
      <c r="B41">
        <v>544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4</v>
      </c>
      <c r="I41" t="s">
        <v>4</v>
      </c>
      <c r="J41" t="s">
        <v>4</v>
      </c>
      <c r="K41" t="s">
        <v>4</v>
      </c>
      <c r="L41" t="s">
        <v>3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3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3</v>
      </c>
      <c r="AE41" t="s">
        <v>4</v>
      </c>
      <c r="AF41" t="s">
        <v>4</v>
      </c>
    </row>
    <row r="42" spans="1:34" hidden="1" x14ac:dyDescent="0.25">
      <c r="A42">
        <v>40</v>
      </c>
      <c r="B42">
        <v>546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H42">
        <v>1</v>
      </c>
    </row>
    <row r="43" spans="1:34" x14ac:dyDescent="0.25">
      <c r="A43">
        <v>41</v>
      </c>
      <c r="B43">
        <v>565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H43">
        <v>1</v>
      </c>
    </row>
    <row r="44" spans="1:34" hidden="1" x14ac:dyDescent="0.25">
      <c r="A44">
        <v>42</v>
      </c>
      <c r="B44">
        <v>578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H44">
        <v>1</v>
      </c>
    </row>
    <row r="45" spans="1:34" hidden="1" x14ac:dyDescent="0.25">
      <c r="A45">
        <v>43</v>
      </c>
      <c r="B45">
        <v>598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H45">
        <v>1</v>
      </c>
    </row>
    <row r="46" spans="1:34" hidden="1" x14ac:dyDescent="0.25">
      <c r="A46">
        <v>44</v>
      </c>
      <c r="B46">
        <v>602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</row>
    <row r="47" spans="1:34" hidden="1" x14ac:dyDescent="0.25">
      <c r="A47">
        <v>45</v>
      </c>
      <c r="B47">
        <v>604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5</v>
      </c>
      <c r="M47" t="s">
        <v>5</v>
      </c>
      <c r="N47" t="s">
        <v>5</v>
      </c>
      <c r="O47" t="s">
        <v>5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4</v>
      </c>
    </row>
    <row r="48" spans="1:34" hidden="1" x14ac:dyDescent="0.25">
      <c r="A48">
        <v>46</v>
      </c>
      <c r="B48">
        <v>629</v>
      </c>
      <c r="C48" t="s">
        <v>4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4</v>
      </c>
      <c r="AH48">
        <v>8</v>
      </c>
    </row>
    <row r="49" spans="1:34" hidden="1" x14ac:dyDescent="0.25">
      <c r="A49">
        <v>47</v>
      </c>
      <c r="B49">
        <v>634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H49">
        <v>1</v>
      </c>
    </row>
    <row r="50" spans="1:34" hidden="1" x14ac:dyDescent="0.25">
      <c r="A50">
        <v>48</v>
      </c>
      <c r="B50">
        <v>649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4</v>
      </c>
      <c r="L50" t="s">
        <v>3</v>
      </c>
      <c r="M50" t="s">
        <v>4</v>
      </c>
      <c r="N50" t="s">
        <v>3</v>
      </c>
      <c r="O50" t="s">
        <v>3</v>
      </c>
      <c r="P50" t="s">
        <v>4</v>
      </c>
      <c r="Q50" t="s">
        <v>3</v>
      </c>
      <c r="R50" t="s">
        <v>3</v>
      </c>
      <c r="S50" t="s">
        <v>4</v>
      </c>
      <c r="T50" t="s">
        <v>3</v>
      </c>
      <c r="U50" t="s">
        <v>4</v>
      </c>
      <c r="V50" t="s">
        <v>3</v>
      </c>
      <c r="W50" t="s">
        <v>4</v>
      </c>
      <c r="X50" t="s">
        <v>4</v>
      </c>
      <c r="Y50" t="s">
        <v>4</v>
      </c>
      <c r="Z50" t="s">
        <v>3</v>
      </c>
      <c r="AA50" t="s">
        <v>4</v>
      </c>
      <c r="AB50" t="s">
        <v>4</v>
      </c>
      <c r="AC50" t="s">
        <v>3</v>
      </c>
      <c r="AD50" t="s">
        <v>3</v>
      </c>
      <c r="AE50" t="s">
        <v>3</v>
      </c>
      <c r="AF50" t="s">
        <v>4</v>
      </c>
    </row>
    <row r="51" spans="1:34" hidden="1" x14ac:dyDescent="0.25">
      <c r="A51">
        <v>49</v>
      </c>
      <c r="B51">
        <v>659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H51">
        <v>1</v>
      </c>
    </row>
    <row r="52" spans="1:34" x14ac:dyDescent="0.25">
      <c r="A52">
        <v>50</v>
      </c>
      <c r="B52">
        <v>679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H52">
        <v>1</v>
      </c>
    </row>
    <row r="53" spans="1:34" hidden="1" x14ac:dyDescent="0.25">
      <c r="A53">
        <v>51</v>
      </c>
      <c r="B53">
        <v>690</v>
      </c>
      <c r="C53" t="s">
        <v>4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</row>
    <row r="54" spans="1:34" hidden="1" x14ac:dyDescent="0.25">
      <c r="A54">
        <v>52</v>
      </c>
      <c r="B54">
        <v>709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H54">
        <v>1</v>
      </c>
    </row>
    <row r="55" spans="1:34" x14ac:dyDescent="0.25">
      <c r="A55">
        <v>53</v>
      </c>
      <c r="B55">
        <v>719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H55">
        <v>1</v>
      </c>
    </row>
    <row r="56" spans="1:34" hidden="1" x14ac:dyDescent="0.25">
      <c r="A56">
        <v>54</v>
      </c>
      <c r="B56">
        <v>727</v>
      </c>
      <c r="C56" t="s">
        <v>4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</row>
    <row r="57" spans="1:34" hidden="1" x14ac:dyDescent="0.25">
      <c r="A57">
        <v>55</v>
      </c>
      <c r="B57">
        <v>729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H57">
        <v>1</v>
      </c>
    </row>
    <row r="58" spans="1:34" x14ac:dyDescent="0.25">
      <c r="A58">
        <v>56</v>
      </c>
      <c r="B58">
        <v>761</v>
      </c>
      <c r="C58" t="s">
        <v>3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3</v>
      </c>
      <c r="W58" t="s">
        <v>5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H58">
        <v>21</v>
      </c>
    </row>
    <row r="59" spans="1:34" hidden="1" x14ac:dyDescent="0.25">
      <c r="A59">
        <v>57</v>
      </c>
      <c r="B59">
        <v>763</v>
      </c>
      <c r="C59" t="s">
        <v>5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H59">
        <v>1</v>
      </c>
    </row>
    <row r="60" spans="1:34" x14ac:dyDescent="0.25">
      <c r="A60">
        <v>58</v>
      </c>
      <c r="B60">
        <v>783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H60">
        <v>1</v>
      </c>
    </row>
    <row r="61" spans="1:34" hidden="1" x14ac:dyDescent="0.25">
      <c r="A61">
        <v>59</v>
      </c>
      <c r="B61">
        <v>788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H61">
        <v>1</v>
      </c>
    </row>
    <row r="62" spans="1:34" hidden="1" x14ac:dyDescent="0.25">
      <c r="A62">
        <v>60</v>
      </c>
      <c r="B62">
        <v>793</v>
      </c>
      <c r="C62" t="s">
        <v>4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4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</v>
      </c>
      <c r="X62" t="s">
        <v>3</v>
      </c>
      <c r="Y62" t="s">
        <v>3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</row>
    <row r="63" spans="1:34" hidden="1" x14ac:dyDescent="0.25">
      <c r="A63">
        <v>61</v>
      </c>
      <c r="B63">
        <v>818</v>
      </c>
      <c r="C63" t="s">
        <v>5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H63">
        <v>1</v>
      </c>
    </row>
    <row r="64" spans="1:34" hidden="1" x14ac:dyDescent="0.25">
      <c r="A64">
        <v>62</v>
      </c>
      <c r="B64">
        <v>827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4</v>
      </c>
      <c r="J64" t="s">
        <v>4</v>
      </c>
      <c r="K64" t="s">
        <v>4</v>
      </c>
      <c r="L64" t="s">
        <v>4</v>
      </c>
      <c r="M64" t="s">
        <v>3</v>
      </c>
      <c r="N64" t="s">
        <v>3</v>
      </c>
      <c r="O64" t="s">
        <v>4</v>
      </c>
      <c r="P64" t="s">
        <v>4</v>
      </c>
      <c r="Q64" t="s">
        <v>3</v>
      </c>
      <c r="R64" t="s">
        <v>4</v>
      </c>
      <c r="S64" t="s">
        <v>3</v>
      </c>
      <c r="T64" t="s">
        <v>4</v>
      </c>
      <c r="U64" t="s">
        <v>3</v>
      </c>
      <c r="V64" t="s">
        <v>4</v>
      </c>
      <c r="W64" t="s">
        <v>4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4</v>
      </c>
      <c r="AE64" t="s">
        <v>3</v>
      </c>
      <c r="AF64" t="s">
        <v>4</v>
      </c>
    </row>
    <row r="65" spans="1:34" x14ac:dyDescent="0.25">
      <c r="A65">
        <v>63</v>
      </c>
      <c r="B65">
        <v>853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H65">
        <v>1</v>
      </c>
    </row>
    <row r="66" spans="1:34" hidden="1" x14ac:dyDescent="0.25">
      <c r="A66">
        <v>64</v>
      </c>
      <c r="B66">
        <v>855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H66">
        <v>1</v>
      </c>
    </row>
    <row r="67" spans="1:34" hidden="1" x14ac:dyDescent="0.25">
      <c r="A67">
        <v>65</v>
      </c>
      <c r="B67">
        <v>885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</row>
    <row r="68" spans="1:34" hidden="1" x14ac:dyDescent="0.25">
      <c r="A68">
        <v>66</v>
      </c>
      <c r="B68">
        <v>894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H68">
        <v>1</v>
      </c>
    </row>
    <row r="69" spans="1:34" hidden="1" x14ac:dyDescent="0.25">
      <c r="A69">
        <v>67</v>
      </c>
      <c r="B69">
        <v>904</v>
      </c>
      <c r="C69" t="s">
        <v>4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</row>
    <row r="70" spans="1:34" x14ac:dyDescent="0.25">
      <c r="A70">
        <v>68</v>
      </c>
      <c r="B70">
        <v>907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H70">
        <v>1</v>
      </c>
    </row>
    <row r="71" spans="1:34" x14ac:dyDescent="0.25">
      <c r="A71">
        <v>69</v>
      </c>
      <c r="B71">
        <v>940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H71">
        <v>1</v>
      </c>
    </row>
    <row r="72" spans="1:34" hidden="1" x14ac:dyDescent="0.25">
      <c r="A72">
        <v>70</v>
      </c>
      <c r="B72">
        <v>946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H72">
        <v>1</v>
      </c>
    </row>
    <row r="73" spans="1:34" x14ac:dyDescent="0.25">
      <c r="A73">
        <v>71</v>
      </c>
      <c r="B73">
        <v>963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H73">
        <v>1</v>
      </c>
    </row>
    <row r="74" spans="1:34" hidden="1" x14ac:dyDescent="0.25">
      <c r="A74">
        <v>72</v>
      </c>
      <c r="B74">
        <v>982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H74">
        <v>1</v>
      </c>
    </row>
    <row r="75" spans="1:34" x14ac:dyDescent="0.25">
      <c r="A75">
        <v>73</v>
      </c>
      <c r="B75">
        <v>992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H75">
        <v>1</v>
      </c>
    </row>
    <row r="76" spans="1:34" hidden="1" x14ac:dyDescent="0.25">
      <c r="A76">
        <v>74</v>
      </c>
      <c r="B76">
        <v>994</v>
      </c>
      <c r="C76" t="s">
        <v>4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</row>
    <row r="77" spans="1:34" hidden="1" x14ac:dyDescent="0.25">
      <c r="A77">
        <v>75</v>
      </c>
      <c r="B77">
        <v>996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H77">
        <v>1</v>
      </c>
    </row>
    <row r="78" spans="1:34" hidden="1" x14ac:dyDescent="0.25">
      <c r="A78">
        <v>76</v>
      </c>
      <c r="B78">
        <v>1034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H78">
        <v>1</v>
      </c>
    </row>
    <row r="79" spans="1:34" x14ac:dyDescent="0.25">
      <c r="A79">
        <v>77</v>
      </c>
      <c r="B79">
        <v>1048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H79">
        <v>1</v>
      </c>
    </row>
    <row r="80" spans="1:34" hidden="1" x14ac:dyDescent="0.25">
      <c r="A80">
        <v>78</v>
      </c>
      <c r="B80">
        <v>1055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</row>
    <row r="81" spans="1:34" hidden="1" x14ac:dyDescent="0.25">
      <c r="A81">
        <v>79</v>
      </c>
      <c r="B81">
        <v>1057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H81">
        <v>1</v>
      </c>
    </row>
    <row r="82" spans="1:34" x14ac:dyDescent="0.25">
      <c r="A82">
        <v>80</v>
      </c>
      <c r="B82">
        <v>1063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H82">
        <v>1</v>
      </c>
    </row>
    <row r="83" spans="1:34" hidden="1" x14ac:dyDescent="0.25">
      <c r="A83">
        <v>81</v>
      </c>
      <c r="B83">
        <v>1074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H83">
        <v>1</v>
      </c>
    </row>
    <row r="84" spans="1:34" hidden="1" x14ac:dyDescent="0.25">
      <c r="A84">
        <v>82</v>
      </c>
      <c r="B84">
        <v>1097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H84">
        <v>1</v>
      </c>
    </row>
    <row r="85" spans="1:34" x14ac:dyDescent="0.25">
      <c r="A85">
        <v>83</v>
      </c>
      <c r="B85">
        <v>1102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H85">
        <v>1</v>
      </c>
    </row>
    <row r="86" spans="1:34" hidden="1" x14ac:dyDescent="0.25">
      <c r="A86">
        <v>84</v>
      </c>
      <c r="B86">
        <v>1121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H86">
        <v>1</v>
      </c>
    </row>
    <row r="87" spans="1:34" x14ac:dyDescent="0.25">
      <c r="A87">
        <v>85</v>
      </c>
      <c r="B87">
        <v>1128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H87">
        <v>1</v>
      </c>
    </row>
    <row r="88" spans="1:34" hidden="1" x14ac:dyDescent="0.25">
      <c r="A88">
        <v>86</v>
      </c>
      <c r="B88">
        <v>1153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H88">
        <v>1</v>
      </c>
    </row>
    <row r="89" spans="1:34" x14ac:dyDescent="0.25">
      <c r="A89">
        <v>87</v>
      </c>
      <c r="B89">
        <v>1174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H89">
        <v>1</v>
      </c>
    </row>
    <row r="90" spans="1:34" hidden="1" x14ac:dyDescent="0.25">
      <c r="A90">
        <v>88</v>
      </c>
      <c r="B90">
        <v>1185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H90">
        <v>1</v>
      </c>
    </row>
    <row r="91" spans="1:34" hidden="1" x14ac:dyDescent="0.25">
      <c r="A91">
        <v>89</v>
      </c>
      <c r="B91">
        <v>1199</v>
      </c>
      <c r="C91" t="s">
        <v>3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3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</row>
    <row r="92" spans="1:34" hidden="1" x14ac:dyDescent="0.25">
      <c r="A92">
        <v>90</v>
      </c>
      <c r="B92">
        <v>1211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H92">
        <v>1</v>
      </c>
    </row>
    <row r="93" spans="1:34" hidden="1" x14ac:dyDescent="0.25">
      <c r="A93">
        <v>91</v>
      </c>
      <c r="B93">
        <v>1222</v>
      </c>
      <c r="C93" t="s">
        <v>4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5</v>
      </c>
      <c r="S93" t="s">
        <v>5</v>
      </c>
      <c r="T93" t="s">
        <v>5</v>
      </c>
      <c r="U93" t="s">
        <v>5</v>
      </c>
      <c r="V93" t="s">
        <v>4</v>
      </c>
      <c r="W93" t="s">
        <v>4</v>
      </c>
      <c r="X93" t="s">
        <v>4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E93" t="s">
        <v>4</v>
      </c>
      <c r="AF93" t="s">
        <v>4</v>
      </c>
      <c r="AH93">
        <v>6</v>
      </c>
    </row>
    <row r="94" spans="1:34" x14ac:dyDescent="0.25">
      <c r="A94">
        <v>92</v>
      </c>
      <c r="B94">
        <v>1223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H94">
        <v>1</v>
      </c>
    </row>
    <row r="95" spans="1:34" hidden="1" x14ac:dyDescent="0.25">
      <c r="A95">
        <v>93</v>
      </c>
      <c r="B95">
        <v>1239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H95">
        <v>1</v>
      </c>
    </row>
    <row r="96" spans="1:34" x14ac:dyDescent="0.25">
      <c r="A96">
        <v>94</v>
      </c>
      <c r="B96">
        <v>1248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H96">
        <v>1</v>
      </c>
    </row>
    <row r="97" spans="1:34" hidden="1" x14ac:dyDescent="0.25">
      <c r="A97">
        <v>95</v>
      </c>
      <c r="B97">
        <v>1268</v>
      </c>
      <c r="C97" t="s">
        <v>4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4</v>
      </c>
      <c r="J97" t="s">
        <v>4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3</v>
      </c>
      <c r="Y97" t="s">
        <v>3</v>
      </c>
      <c r="Z97" t="s">
        <v>3</v>
      </c>
      <c r="AA97" t="s">
        <v>5</v>
      </c>
      <c r="AB97" t="s">
        <v>3</v>
      </c>
      <c r="AC97" t="s">
        <v>3</v>
      </c>
      <c r="AD97" t="s">
        <v>4</v>
      </c>
      <c r="AE97" t="s">
        <v>3</v>
      </c>
      <c r="AF97" t="s">
        <v>4</v>
      </c>
      <c r="AH97">
        <v>6</v>
      </c>
    </row>
    <row r="98" spans="1:34" x14ac:dyDescent="0.25">
      <c r="A98">
        <v>96</v>
      </c>
      <c r="B98">
        <v>1271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H98">
        <v>1</v>
      </c>
    </row>
    <row r="99" spans="1:34" hidden="1" x14ac:dyDescent="0.25">
      <c r="A99">
        <v>97</v>
      </c>
      <c r="B99">
        <v>1301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H99">
        <v>1</v>
      </c>
    </row>
    <row r="100" spans="1:34" hidden="1" x14ac:dyDescent="0.25">
      <c r="A100">
        <v>98</v>
      </c>
      <c r="B100">
        <v>1308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4</v>
      </c>
      <c r="L100" t="s">
        <v>3</v>
      </c>
      <c r="M100" t="s">
        <v>4</v>
      </c>
      <c r="N100" t="s">
        <v>3</v>
      </c>
      <c r="O100" t="s">
        <v>3</v>
      </c>
      <c r="P100" t="s">
        <v>4</v>
      </c>
      <c r="Q100" t="s">
        <v>3</v>
      </c>
      <c r="R100" t="s">
        <v>3</v>
      </c>
      <c r="S100" t="s">
        <v>4</v>
      </c>
      <c r="T100" t="s">
        <v>3</v>
      </c>
      <c r="U100" t="s">
        <v>4</v>
      </c>
      <c r="V100" t="s">
        <v>3</v>
      </c>
      <c r="W100" t="s">
        <v>4</v>
      </c>
      <c r="X100" t="s">
        <v>4</v>
      </c>
      <c r="Y100" t="s">
        <v>4</v>
      </c>
      <c r="Z100" t="s">
        <v>3</v>
      </c>
      <c r="AA100" t="s">
        <v>4</v>
      </c>
      <c r="AB100" t="s">
        <v>4</v>
      </c>
      <c r="AC100" t="s">
        <v>3</v>
      </c>
      <c r="AD100" t="s">
        <v>3</v>
      </c>
      <c r="AE100" t="s">
        <v>3</v>
      </c>
      <c r="AF100" t="s">
        <v>4</v>
      </c>
    </row>
    <row r="101" spans="1:34" hidden="1" x14ac:dyDescent="0.25">
      <c r="A101">
        <v>99</v>
      </c>
      <c r="B101">
        <v>1314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H101">
        <v>1</v>
      </c>
    </row>
    <row r="102" spans="1:34" x14ac:dyDescent="0.25">
      <c r="A102">
        <v>100</v>
      </c>
      <c r="B102">
        <v>1343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H102">
        <v>1</v>
      </c>
    </row>
    <row r="103" spans="1:34" hidden="1" x14ac:dyDescent="0.25">
      <c r="A103">
        <v>101</v>
      </c>
      <c r="B103">
        <v>1351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H103">
        <v>1</v>
      </c>
    </row>
    <row r="104" spans="1:34" x14ac:dyDescent="0.25">
      <c r="A104">
        <v>102</v>
      </c>
      <c r="B104">
        <v>1368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H104">
        <v>1</v>
      </c>
    </row>
    <row r="105" spans="1:34" hidden="1" x14ac:dyDescent="0.25">
      <c r="A105">
        <v>103</v>
      </c>
      <c r="B105">
        <v>1387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H105">
        <v>1</v>
      </c>
    </row>
    <row r="106" spans="1:34" hidden="1" x14ac:dyDescent="0.25">
      <c r="A106">
        <v>104</v>
      </c>
      <c r="B106">
        <v>1393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4</v>
      </c>
      <c r="Q106" t="s">
        <v>4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t="s">
        <v>4</v>
      </c>
      <c r="AF106" t="s">
        <v>4</v>
      </c>
    </row>
    <row r="107" spans="1:34" hidden="1" x14ac:dyDescent="0.25">
      <c r="A107">
        <v>105</v>
      </c>
      <c r="B107">
        <v>1407</v>
      </c>
      <c r="C107" t="s">
        <v>4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5</v>
      </c>
      <c r="M107" t="s">
        <v>3</v>
      </c>
      <c r="N107" t="s">
        <v>5</v>
      </c>
      <c r="O107" t="s">
        <v>3</v>
      </c>
      <c r="P107" t="s">
        <v>3</v>
      </c>
      <c r="Q107" t="s">
        <v>3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</row>
    <row r="108" spans="1:34" x14ac:dyDescent="0.25">
      <c r="A108">
        <v>106</v>
      </c>
      <c r="B108">
        <v>1422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H108">
        <v>1</v>
      </c>
    </row>
    <row r="109" spans="1:34" hidden="1" x14ac:dyDescent="0.25">
      <c r="A109">
        <v>107</v>
      </c>
      <c r="B109">
        <v>1431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H109">
        <v>1</v>
      </c>
    </row>
    <row r="110" spans="1:34" hidden="1" x14ac:dyDescent="0.25">
      <c r="A110">
        <v>108</v>
      </c>
      <c r="B110">
        <v>1441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H110">
        <v>1</v>
      </c>
    </row>
    <row r="111" spans="1:34" x14ac:dyDescent="0.25">
      <c r="A111">
        <v>109</v>
      </c>
      <c r="B111">
        <v>1451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H111">
        <v>1</v>
      </c>
    </row>
    <row r="112" spans="1:34" hidden="1" x14ac:dyDescent="0.25">
      <c r="A112">
        <v>110</v>
      </c>
      <c r="B112">
        <v>1469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4</v>
      </c>
      <c r="L112" t="s">
        <v>3</v>
      </c>
      <c r="M112" t="s">
        <v>4</v>
      </c>
      <c r="N112" t="s">
        <v>3</v>
      </c>
      <c r="O112" t="s">
        <v>3</v>
      </c>
      <c r="P112" t="s">
        <v>4</v>
      </c>
      <c r="Q112" t="s">
        <v>3</v>
      </c>
      <c r="R112" t="s">
        <v>3</v>
      </c>
      <c r="S112" t="s">
        <v>4</v>
      </c>
      <c r="T112" t="s">
        <v>3</v>
      </c>
      <c r="U112" t="s">
        <v>4</v>
      </c>
      <c r="V112" t="s">
        <v>3</v>
      </c>
      <c r="W112" t="s">
        <v>4</v>
      </c>
      <c r="X112" t="s">
        <v>4</v>
      </c>
      <c r="Y112" t="s">
        <v>4</v>
      </c>
      <c r="Z112" t="s">
        <v>3</v>
      </c>
      <c r="AA112" t="s">
        <v>4</v>
      </c>
      <c r="AB112" t="s">
        <v>4</v>
      </c>
      <c r="AC112" t="s">
        <v>3</v>
      </c>
      <c r="AD112" t="s">
        <v>3</v>
      </c>
      <c r="AE112" t="s">
        <v>3</v>
      </c>
      <c r="AF112" t="s">
        <v>4</v>
      </c>
    </row>
    <row r="113" spans="1:34" hidden="1" x14ac:dyDescent="0.25">
      <c r="A113">
        <v>111</v>
      </c>
      <c r="B113">
        <v>1474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H113">
        <v>1</v>
      </c>
    </row>
    <row r="114" spans="1:34" hidden="1" x14ac:dyDescent="0.25">
      <c r="A114">
        <v>112</v>
      </c>
      <c r="B114">
        <v>1484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H114">
        <v>1</v>
      </c>
    </row>
    <row r="115" spans="1:34" hidden="1" x14ac:dyDescent="0.25">
      <c r="A115">
        <v>113</v>
      </c>
      <c r="B115">
        <v>1485</v>
      </c>
      <c r="C115" t="s">
        <v>4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4</v>
      </c>
      <c r="AB115" t="s">
        <v>4</v>
      </c>
      <c r="AC115" t="s">
        <v>5</v>
      </c>
      <c r="AD115" t="s">
        <v>4</v>
      </c>
      <c r="AE115" t="s">
        <v>4</v>
      </c>
      <c r="AF115" t="s">
        <v>4</v>
      </c>
      <c r="AH115">
        <v>24</v>
      </c>
    </row>
    <row r="116" spans="1:34" hidden="1" x14ac:dyDescent="0.25">
      <c r="A116">
        <v>114</v>
      </c>
      <c r="B116">
        <v>1493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H116">
        <v>1</v>
      </c>
    </row>
    <row r="117" spans="1:34" hidden="1" x14ac:dyDescent="0.25">
      <c r="A117">
        <v>115</v>
      </c>
      <c r="B117">
        <v>1513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H117">
        <v>1</v>
      </c>
    </row>
    <row r="118" spans="1:34" hidden="1" x14ac:dyDescent="0.25">
      <c r="A118">
        <v>116</v>
      </c>
      <c r="B118">
        <v>1520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4</v>
      </c>
      <c r="J118" t="s">
        <v>4</v>
      </c>
      <c r="K118" t="s">
        <v>4</v>
      </c>
      <c r="L118" t="s">
        <v>4</v>
      </c>
      <c r="M118" t="s">
        <v>3</v>
      </c>
      <c r="N118" t="s">
        <v>3</v>
      </c>
      <c r="O118" t="s">
        <v>4</v>
      </c>
      <c r="P118" t="s">
        <v>4</v>
      </c>
      <c r="Q118" t="s">
        <v>3</v>
      </c>
      <c r="R118" t="s">
        <v>4</v>
      </c>
      <c r="S118" t="s">
        <v>3</v>
      </c>
      <c r="T118" t="s">
        <v>4</v>
      </c>
      <c r="U118" t="s">
        <v>3</v>
      </c>
      <c r="V118" t="s">
        <v>4</v>
      </c>
      <c r="W118" t="s">
        <v>4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4</v>
      </c>
      <c r="AE118" t="s">
        <v>3</v>
      </c>
      <c r="AF118" t="s">
        <v>4</v>
      </c>
    </row>
    <row r="119" spans="1:34" x14ac:dyDescent="0.25">
      <c r="A119">
        <v>117</v>
      </c>
      <c r="B119">
        <v>1547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H119">
        <v>1</v>
      </c>
    </row>
    <row r="120" spans="1:34" hidden="1" x14ac:dyDescent="0.25">
      <c r="A120">
        <v>118</v>
      </c>
      <c r="B120">
        <v>1550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H120">
        <v>1</v>
      </c>
    </row>
    <row r="121" spans="1:34" hidden="1" x14ac:dyDescent="0.25">
      <c r="A121">
        <v>119</v>
      </c>
      <c r="B121">
        <v>1554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H121">
        <v>1</v>
      </c>
    </row>
    <row r="122" spans="1:34" x14ac:dyDescent="0.25">
      <c r="A122">
        <v>120</v>
      </c>
      <c r="B122">
        <v>1589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H122">
        <v>1</v>
      </c>
    </row>
    <row r="123" spans="1:34" hidden="1" x14ac:dyDescent="0.25">
      <c r="A123">
        <v>121</v>
      </c>
      <c r="B123">
        <v>1595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H123">
        <v>1</v>
      </c>
    </row>
    <row r="124" spans="1:34" hidden="1" x14ac:dyDescent="0.25">
      <c r="A124">
        <v>122</v>
      </c>
      <c r="B124">
        <v>1600</v>
      </c>
      <c r="C124" t="s">
        <v>4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4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</row>
    <row r="125" spans="1:34" x14ac:dyDescent="0.25">
      <c r="A125">
        <v>123</v>
      </c>
      <c r="B125">
        <v>1617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H125">
        <v>1</v>
      </c>
    </row>
    <row r="126" spans="1:34" hidden="1" x14ac:dyDescent="0.25">
      <c r="A126">
        <v>124</v>
      </c>
      <c r="B126">
        <v>1619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H126">
        <v>1</v>
      </c>
    </row>
    <row r="127" spans="1:34" x14ac:dyDescent="0.25">
      <c r="A127">
        <v>125</v>
      </c>
      <c r="B127">
        <v>1662</v>
      </c>
      <c r="C127" t="s">
        <v>3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3</v>
      </c>
      <c r="Q127" t="s">
        <v>3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  <c r="AH127">
        <v>13</v>
      </c>
    </row>
    <row r="128" spans="1:34" x14ac:dyDescent="0.25">
      <c r="A128">
        <v>126</v>
      </c>
      <c r="B128">
        <v>1663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H128">
        <v>1</v>
      </c>
    </row>
    <row r="129" spans="1:34" hidden="1" x14ac:dyDescent="0.25">
      <c r="A129">
        <v>127</v>
      </c>
      <c r="B129">
        <v>1665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H129">
        <v>1</v>
      </c>
    </row>
    <row r="130" spans="1:34" hidden="1" x14ac:dyDescent="0.25">
      <c r="A130">
        <v>128</v>
      </c>
      <c r="B130">
        <v>1672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H130">
        <v>1</v>
      </c>
    </row>
    <row r="131" spans="1:34" x14ac:dyDescent="0.25">
      <c r="A131">
        <v>129</v>
      </c>
      <c r="B131">
        <v>1691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H131">
        <v>1</v>
      </c>
    </row>
    <row r="132" spans="1:34" hidden="1" x14ac:dyDescent="0.25">
      <c r="A132">
        <v>130</v>
      </c>
      <c r="B132">
        <v>1698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H132">
        <v>1</v>
      </c>
    </row>
    <row r="133" spans="1:34" x14ac:dyDescent="0.25">
      <c r="A133">
        <v>131</v>
      </c>
      <c r="B133">
        <v>1718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H133">
        <v>1</v>
      </c>
    </row>
    <row r="134" spans="1:34" x14ac:dyDescent="0.25">
      <c r="A134">
        <v>132</v>
      </c>
      <c r="B134">
        <v>1735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H134">
        <v>1</v>
      </c>
    </row>
    <row r="135" spans="1:34" hidden="1" x14ac:dyDescent="0.25">
      <c r="A135">
        <v>133</v>
      </c>
      <c r="B135">
        <v>1736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H135">
        <v>1</v>
      </c>
    </row>
    <row r="136" spans="1:34" hidden="1" x14ac:dyDescent="0.25">
      <c r="A136">
        <v>134</v>
      </c>
      <c r="B136">
        <v>1742</v>
      </c>
      <c r="C136" t="s">
        <v>4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5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</row>
    <row r="137" spans="1:34" hidden="1" x14ac:dyDescent="0.25">
      <c r="A137">
        <v>135</v>
      </c>
      <c r="B137">
        <v>1749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H137">
        <v>1</v>
      </c>
    </row>
    <row r="138" spans="1:34" hidden="1" x14ac:dyDescent="0.25">
      <c r="A138">
        <v>136</v>
      </c>
      <c r="B138">
        <v>1766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H138">
        <v>1</v>
      </c>
    </row>
    <row r="139" spans="1:34" x14ac:dyDescent="0.25">
      <c r="A139">
        <v>137</v>
      </c>
      <c r="B139">
        <v>1772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H139">
        <v>1</v>
      </c>
    </row>
    <row r="140" spans="1:34" hidden="1" x14ac:dyDescent="0.25">
      <c r="A140">
        <v>138</v>
      </c>
      <c r="B140">
        <v>1777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H140">
        <v>1</v>
      </c>
    </row>
    <row r="141" spans="1:34" hidden="1" x14ac:dyDescent="0.25">
      <c r="A141">
        <v>139</v>
      </c>
      <c r="B141">
        <v>1779</v>
      </c>
      <c r="C141" t="s">
        <v>4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</row>
    <row r="142" spans="1:34" hidden="1" x14ac:dyDescent="0.25">
      <c r="A142">
        <v>140</v>
      </c>
      <c r="B142">
        <v>1799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H142">
        <v>1</v>
      </c>
    </row>
    <row r="143" spans="1:34" x14ac:dyDescent="0.25">
      <c r="A143">
        <v>141</v>
      </c>
      <c r="B143">
        <v>1802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H143">
        <v>1</v>
      </c>
    </row>
    <row r="144" spans="1:34" hidden="1" x14ac:dyDescent="0.25">
      <c r="A144">
        <v>142</v>
      </c>
      <c r="B144">
        <v>1808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H144">
        <v>1</v>
      </c>
    </row>
    <row r="145" spans="1:34" x14ac:dyDescent="0.25">
      <c r="A145">
        <v>143</v>
      </c>
      <c r="B145">
        <v>1828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H145">
        <v>1</v>
      </c>
    </row>
    <row r="146" spans="1:34" hidden="1" x14ac:dyDescent="0.25">
      <c r="A146">
        <v>144</v>
      </c>
      <c r="B146">
        <v>1829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H146">
        <v>1</v>
      </c>
    </row>
    <row r="147" spans="1:34" x14ac:dyDescent="0.25">
      <c r="A147">
        <v>145</v>
      </c>
      <c r="B147">
        <v>1843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H147">
        <v>1</v>
      </c>
    </row>
    <row r="148" spans="1:34" hidden="1" x14ac:dyDescent="0.25">
      <c r="A148">
        <v>146</v>
      </c>
      <c r="B148">
        <v>1846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H148">
        <v>1</v>
      </c>
    </row>
    <row r="149" spans="1:34" hidden="1" x14ac:dyDescent="0.25">
      <c r="A149">
        <v>147</v>
      </c>
      <c r="B149">
        <v>1862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H149">
        <v>1</v>
      </c>
    </row>
    <row r="150" spans="1:34" x14ac:dyDescent="0.25">
      <c r="A150">
        <v>148</v>
      </c>
      <c r="B150">
        <v>1876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H150">
        <v>1</v>
      </c>
    </row>
    <row r="151" spans="1:34" hidden="1" x14ac:dyDescent="0.25">
      <c r="A151">
        <v>149</v>
      </c>
      <c r="B151">
        <v>1890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H151">
        <v>1</v>
      </c>
    </row>
    <row r="152" spans="1:34" x14ac:dyDescent="0.25">
      <c r="A152">
        <v>150</v>
      </c>
      <c r="B152">
        <v>1893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H152">
        <v>1</v>
      </c>
    </row>
    <row r="153" spans="1:34" hidden="1" x14ac:dyDescent="0.25">
      <c r="A153">
        <v>151</v>
      </c>
      <c r="B153">
        <v>1911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H153">
        <v>1</v>
      </c>
    </row>
    <row r="154" spans="1:34" hidden="1" x14ac:dyDescent="0.25">
      <c r="A154">
        <v>152</v>
      </c>
      <c r="B154">
        <v>1918</v>
      </c>
      <c r="C154" t="s">
        <v>4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</row>
    <row r="155" spans="1:34" hidden="1" x14ac:dyDescent="0.25">
      <c r="A155">
        <v>153</v>
      </c>
      <c r="B155">
        <v>1934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4</v>
      </c>
      <c r="J155" t="s">
        <v>4</v>
      </c>
      <c r="K155" t="s">
        <v>4</v>
      </c>
      <c r="L155" t="s">
        <v>4</v>
      </c>
      <c r="M155" t="s">
        <v>3</v>
      </c>
      <c r="N155" t="s">
        <v>3</v>
      </c>
      <c r="O155" t="s">
        <v>4</v>
      </c>
      <c r="P155" t="s">
        <v>4</v>
      </c>
      <c r="Q155" t="s">
        <v>3</v>
      </c>
      <c r="R155" t="s">
        <v>4</v>
      </c>
      <c r="S155" t="s">
        <v>3</v>
      </c>
      <c r="T155" t="s">
        <v>4</v>
      </c>
      <c r="U155" t="s">
        <v>3</v>
      </c>
      <c r="V155" t="s">
        <v>4</v>
      </c>
      <c r="W155" t="s">
        <v>4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4</v>
      </c>
      <c r="AE155" t="s">
        <v>3</v>
      </c>
      <c r="AF155" t="s">
        <v>4</v>
      </c>
    </row>
    <row r="156" spans="1:34" hidden="1" x14ac:dyDescent="0.25">
      <c r="A156">
        <v>154</v>
      </c>
      <c r="B156">
        <v>1937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H156">
        <v>1</v>
      </c>
    </row>
    <row r="157" spans="1:34" hidden="1" x14ac:dyDescent="0.25">
      <c r="A157">
        <v>155</v>
      </c>
      <c r="B157">
        <v>1940</v>
      </c>
      <c r="C157" t="s">
        <v>4</v>
      </c>
      <c r="D157" t="s">
        <v>3</v>
      </c>
      <c r="E157" t="s">
        <v>3</v>
      </c>
      <c r="F157" t="s">
        <v>3</v>
      </c>
      <c r="G157" t="s">
        <v>3</v>
      </c>
      <c r="H157" t="s">
        <v>5</v>
      </c>
      <c r="I157" t="s">
        <v>3</v>
      </c>
      <c r="J157" t="s">
        <v>3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</row>
    <row r="158" spans="1:34" hidden="1" x14ac:dyDescent="0.25">
      <c r="A158">
        <v>156</v>
      </c>
      <c r="B158">
        <v>1960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4</v>
      </c>
      <c r="I158" t="s">
        <v>4</v>
      </c>
      <c r="J158" t="s">
        <v>4</v>
      </c>
      <c r="K158" t="s">
        <v>4</v>
      </c>
      <c r="L158" t="s">
        <v>3</v>
      </c>
      <c r="M158" t="s">
        <v>3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3</v>
      </c>
      <c r="W158" t="s">
        <v>4</v>
      </c>
      <c r="X158" t="s">
        <v>3</v>
      </c>
      <c r="Y158" t="s">
        <v>4</v>
      </c>
      <c r="Z158" t="s">
        <v>3</v>
      </c>
      <c r="AA158" t="s">
        <v>4</v>
      </c>
      <c r="AB158" t="s">
        <v>4</v>
      </c>
      <c r="AC158" t="s">
        <v>3</v>
      </c>
      <c r="AD158" t="s">
        <v>3</v>
      </c>
      <c r="AE158" t="s">
        <v>4</v>
      </c>
      <c r="AF158" t="s">
        <v>4</v>
      </c>
    </row>
    <row r="159" spans="1:34" hidden="1" x14ac:dyDescent="0.25">
      <c r="A159">
        <v>157</v>
      </c>
      <c r="B159">
        <v>1967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H159">
        <v>1</v>
      </c>
    </row>
    <row r="160" spans="1:34" x14ac:dyDescent="0.25">
      <c r="A160">
        <v>158</v>
      </c>
      <c r="B160">
        <v>1979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H160">
        <v>1</v>
      </c>
    </row>
    <row r="161" spans="1:34" hidden="1" x14ac:dyDescent="0.25">
      <c r="A161">
        <v>159</v>
      </c>
      <c r="B161">
        <v>1983</v>
      </c>
      <c r="C161" t="s">
        <v>5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5</v>
      </c>
      <c r="R161" t="s">
        <v>5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4</v>
      </c>
      <c r="AE161" t="s">
        <v>4</v>
      </c>
      <c r="AF161" t="s">
        <v>4</v>
      </c>
    </row>
    <row r="162" spans="1:34" hidden="1" x14ac:dyDescent="0.25">
      <c r="A162">
        <v>160</v>
      </c>
      <c r="B162">
        <v>2009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H162">
        <v>1</v>
      </c>
    </row>
    <row r="163" spans="1:34" hidden="1" x14ac:dyDescent="0.25">
      <c r="A163">
        <v>161</v>
      </c>
      <c r="B163">
        <v>2016</v>
      </c>
      <c r="C163" t="s">
        <v>4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5</v>
      </c>
      <c r="M163" t="s">
        <v>5</v>
      </c>
      <c r="N163" t="s">
        <v>5</v>
      </c>
      <c r="O163" t="s">
        <v>5</v>
      </c>
      <c r="P163" t="s">
        <v>4</v>
      </c>
      <c r="Q163" t="s">
        <v>4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</row>
    <row r="164" spans="1:34" hidden="1" x14ac:dyDescent="0.25">
      <c r="A164">
        <v>162</v>
      </c>
      <c r="B164">
        <v>2018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H164">
        <v>1</v>
      </c>
    </row>
    <row r="165" spans="1:34" x14ac:dyDescent="0.25">
      <c r="A165">
        <v>163</v>
      </c>
      <c r="B165">
        <v>2024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H165">
        <v>1</v>
      </c>
    </row>
    <row r="166" spans="1:34" hidden="1" x14ac:dyDescent="0.25">
      <c r="A166">
        <v>164</v>
      </c>
      <c r="B166">
        <v>2032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H166">
        <v>1</v>
      </c>
    </row>
    <row r="167" spans="1:34" hidden="1" x14ac:dyDescent="0.25">
      <c r="A167">
        <v>165</v>
      </c>
      <c r="B167">
        <v>2043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H167">
        <v>1</v>
      </c>
    </row>
    <row r="168" spans="1:34" hidden="1" x14ac:dyDescent="0.25">
      <c r="A168">
        <v>166</v>
      </c>
      <c r="B168">
        <v>2055</v>
      </c>
      <c r="C168" t="s">
        <v>5</v>
      </c>
      <c r="D168" t="s">
        <v>5</v>
      </c>
      <c r="E168" t="s">
        <v>5</v>
      </c>
      <c r="F168" t="s">
        <v>5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H168">
        <v>1</v>
      </c>
    </row>
    <row r="169" spans="1:34" x14ac:dyDescent="0.25">
      <c r="A169">
        <v>167</v>
      </c>
      <c r="B169">
        <v>2057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H169">
        <v>1</v>
      </c>
    </row>
    <row r="170" spans="1:34" hidden="1" x14ac:dyDescent="0.25">
      <c r="A170">
        <v>168</v>
      </c>
      <c r="B170">
        <v>2064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H170">
        <v>1</v>
      </c>
    </row>
    <row r="171" spans="1:34" x14ac:dyDescent="0.25">
      <c r="A171">
        <v>169</v>
      </c>
      <c r="B171">
        <v>2073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H171">
        <v>1</v>
      </c>
    </row>
    <row r="172" spans="1:34" hidden="1" x14ac:dyDescent="0.25">
      <c r="A172">
        <v>170</v>
      </c>
      <c r="B172">
        <v>2093</v>
      </c>
      <c r="C172" t="s">
        <v>5</v>
      </c>
      <c r="D172" t="s">
        <v>5</v>
      </c>
      <c r="E172" t="s">
        <v>5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H172">
        <v>1</v>
      </c>
    </row>
    <row r="173" spans="1:34" hidden="1" x14ac:dyDescent="0.25">
      <c r="A173">
        <v>171</v>
      </c>
      <c r="B173">
        <v>2104</v>
      </c>
      <c r="C173" t="s">
        <v>4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</row>
    <row r="174" spans="1:34" hidden="1" x14ac:dyDescent="0.25">
      <c r="A174">
        <v>172</v>
      </c>
      <c r="B174">
        <v>2109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H174">
        <v>1</v>
      </c>
    </row>
    <row r="175" spans="1:34" hidden="1" x14ac:dyDescent="0.25">
      <c r="A175">
        <v>173</v>
      </c>
      <c r="B175">
        <v>2116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H175">
        <v>1</v>
      </c>
    </row>
    <row r="176" spans="1:34" x14ac:dyDescent="0.25">
      <c r="A176">
        <v>174</v>
      </c>
      <c r="B176">
        <v>2118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H176">
        <v>1</v>
      </c>
    </row>
    <row r="177" spans="1:34" x14ac:dyDescent="0.25">
      <c r="A177">
        <v>175</v>
      </c>
      <c r="B177">
        <v>2140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H177">
        <v>1</v>
      </c>
    </row>
    <row r="178" spans="1:34" hidden="1" x14ac:dyDescent="0.25">
      <c r="A178">
        <v>176</v>
      </c>
      <c r="B178">
        <v>2147</v>
      </c>
      <c r="C178" t="s">
        <v>4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</row>
    <row r="179" spans="1:34" hidden="1" x14ac:dyDescent="0.25">
      <c r="A179">
        <v>177</v>
      </c>
      <c r="B179">
        <v>2149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H179">
        <v>1</v>
      </c>
    </row>
    <row r="180" spans="1:34" hidden="1" x14ac:dyDescent="0.25">
      <c r="A180">
        <v>178</v>
      </c>
      <c r="B180">
        <v>2160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H180">
        <v>1</v>
      </c>
    </row>
    <row r="181" spans="1:34" hidden="1" x14ac:dyDescent="0.25">
      <c r="A181">
        <v>179</v>
      </c>
      <c r="B181">
        <v>2172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H181">
        <v>1</v>
      </c>
    </row>
    <row r="182" spans="1:34" x14ac:dyDescent="0.25">
      <c r="A182">
        <v>180</v>
      </c>
      <c r="B182">
        <v>2175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H182">
        <v>1</v>
      </c>
    </row>
    <row r="183" spans="1:34" hidden="1" x14ac:dyDescent="0.25">
      <c r="A183">
        <v>181</v>
      </c>
      <c r="B183">
        <v>2184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H183">
        <v>1</v>
      </c>
    </row>
    <row r="184" spans="1:34" hidden="1" x14ac:dyDescent="0.25">
      <c r="A184">
        <v>182</v>
      </c>
      <c r="B184">
        <v>2198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H184">
        <v>1</v>
      </c>
    </row>
    <row r="185" spans="1:34" hidden="1" x14ac:dyDescent="0.25">
      <c r="A185">
        <v>183</v>
      </c>
      <c r="B185">
        <v>2214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H185">
        <v>1</v>
      </c>
    </row>
    <row r="186" spans="1:34" hidden="1" x14ac:dyDescent="0.25">
      <c r="A186">
        <v>184</v>
      </c>
      <c r="B186">
        <v>2215</v>
      </c>
      <c r="C186" t="s">
        <v>4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4</v>
      </c>
      <c r="L186" t="s">
        <v>3</v>
      </c>
      <c r="M186" t="s">
        <v>4</v>
      </c>
      <c r="N186" t="s">
        <v>3</v>
      </c>
      <c r="O186" t="s">
        <v>3</v>
      </c>
      <c r="P186" t="s">
        <v>4</v>
      </c>
      <c r="Q186" t="s">
        <v>3</v>
      </c>
      <c r="R186" t="s">
        <v>3</v>
      </c>
      <c r="S186" t="s">
        <v>4</v>
      </c>
      <c r="T186" t="s">
        <v>3</v>
      </c>
      <c r="U186" t="s">
        <v>4</v>
      </c>
      <c r="V186" t="s">
        <v>3</v>
      </c>
      <c r="W186" t="s">
        <v>4</v>
      </c>
      <c r="X186" t="s">
        <v>4</v>
      </c>
      <c r="Y186" t="s">
        <v>4</v>
      </c>
      <c r="Z186" t="s">
        <v>3</v>
      </c>
      <c r="AA186" t="s">
        <v>4</v>
      </c>
      <c r="AB186" t="s">
        <v>4</v>
      </c>
      <c r="AC186" t="s">
        <v>3</v>
      </c>
      <c r="AD186" t="s">
        <v>3</v>
      </c>
      <c r="AE186" t="s">
        <v>3</v>
      </c>
      <c r="AF186" t="s">
        <v>4</v>
      </c>
      <c r="AH186">
        <v>8</v>
      </c>
    </row>
    <row r="187" spans="1:34" x14ac:dyDescent="0.25">
      <c r="A187">
        <v>185</v>
      </c>
      <c r="B187">
        <v>2225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H187">
        <v>1</v>
      </c>
    </row>
    <row r="188" spans="1:34" hidden="1" x14ac:dyDescent="0.25">
      <c r="A188">
        <v>186</v>
      </c>
      <c r="B188">
        <v>2230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H188">
        <v>1</v>
      </c>
    </row>
    <row r="189" spans="1:34" hidden="1" x14ac:dyDescent="0.25">
      <c r="A189">
        <v>187</v>
      </c>
      <c r="B189">
        <v>2248</v>
      </c>
      <c r="C189" t="s">
        <v>5</v>
      </c>
      <c r="D189" t="s">
        <v>5</v>
      </c>
      <c r="E189" t="s">
        <v>5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H189">
        <v>1</v>
      </c>
    </row>
    <row r="190" spans="1:34" x14ac:dyDescent="0.25">
      <c r="A190">
        <v>188</v>
      </c>
      <c r="B190">
        <v>2266</v>
      </c>
      <c r="C190" t="s">
        <v>3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3</v>
      </c>
      <c r="U190" t="s">
        <v>5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H190">
        <v>19</v>
      </c>
    </row>
    <row r="191" spans="1:34" hidden="1" x14ac:dyDescent="0.25">
      <c r="A191">
        <v>189</v>
      </c>
      <c r="B191">
        <v>2275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H191">
        <v>1</v>
      </c>
    </row>
    <row r="192" spans="1:34" hidden="1" x14ac:dyDescent="0.25">
      <c r="A192">
        <v>190</v>
      </c>
      <c r="B192">
        <v>2293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H192">
        <v>1</v>
      </c>
    </row>
    <row r="193" spans="1:34" hidden="1" x14ac:dyDescent="0.25">
      <c r="A193">
        <v>191</v>
      </c>
      <c r="B193">
        <v>2301</v>
      </c>
      <c r="C193" t="s">
        <v>4</v>
      </c>
      <c r="D193" t="s">
        <v>5</v>
      </c>
      <c r="E193" t="s">
        <v>5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3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</row>
    <row r="194" spans="1:34" x14ac:dyDescent="0.25">
      <c r="A194">
        <v>192</v>
      </c>
      <c r="B194">
        <v>2305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H194">
        <v>1</v>
      </c>
    </row>
    <row r="195" spans="1:34" hidden="1" x14ac:dyDescent="0.25">
      <c r="A195">
        <v>193</v>
      </c>
      <c r="B195">
        <v>2321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H195">
        <v>1</v>
      </c>
    </row>
    <row r="196" spans="1:34" hidden="1" x14ac:dyDescent="0.25">
      <c r="A196">
        <v>194</v>
      </c>
      <c r="B196">
        <v>2343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H196">
        <v>1</v>
      </c>
    </row>
    <row r="197" spans="1:34" hidden="1" x14ac:dyDescent="0.25">
      <c r="A197">
        <v>195</v>
      </c>
      <c r="B197">
        <v>2346</v>
      </c>
      <c r="C197" t="s">
        <v>4</v>
      </c>
      <c r="D197" t="s">
        <v>5</v>
      </c>
      <c r="E197" t="s">
        <v>5</v>
      </c>
      <c r="F197" t="s">
        <v>5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5</v>
      </c>
    </row>
    <row r="198" spans="1:34" hidden="1" x14ac:dyDescent="0.25">
      <c r="A198">
        <v>196</v>
      </c>
      <c r="B198">
        <v>2351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H198">
        <v>1</v>
      </c>
    </row>
    <row r="199" spans="1:34" x14ac:dyDescent="0.25">
      <c r="A199">
        <v>197</v>
      </c>
      <c r="B199">
        <v>2354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H199">
        <v>1</v>
      </c>
    </row>
    <row r="200" spans="1:34" hidden="1" x14ac:dyDescent="0.25">
      <c r="A200">
        <v>198</v>
      </c>
      <c r="B200">
        <v>2364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3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H200">
        <v>1</v>
      </c>
    </row>
    <row r="201" spans="1:34" x14ac:dyDescent="0.25">
      <c r="A201">
        <v>199</v>
      </c>
      <c r="B201">
        <v>2365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H201">
        <v>1</v>
      </c>
    </row>
  </sheetData>
  <autoFilter ref="A1:AF201" xr:uid="{D77D52BB-1588-4781-B66A-8B97CA00F8DD}">
    <filterColumn colId="2">
      <filters>
        <filter val="Dropout"/>
      </filters>
    </filterColumn>
    <filterColumn colId="31">
      <filters>
        <filter val="Dropo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AnalyseTCD</vt:lpstr>
      <vt:lpstr>ResultsPass</vt:lpstr>
      <vt:lpstr>ResultsFail</vt:lpstr>
      <vt:lpstr>ResultsDropout</vt:lpstr>
      <vt:lpstr>Analyse</vt:lpstr>
      <vt:lpstr>Frame_sys_results</vt:lpstr>
      <vt:lpstr>Analyse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2024-06-24T16:40:05Z</dcterms:created>
  <dcterms:modified xsi:type="dcterms:W3CDTF">2024-08-24T01:40:49Z</dcterms:modified>
</cp:coreProperties>
</file>