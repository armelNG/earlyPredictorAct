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resultsys\opt\"/>
    </mc:Choice>
  </mc:AlternateContent>
  <xr:revisionPtr revIDLastSave="0" documentId="13_ncr:1_{751D19E1-C7B2-427E-BB4C-D75614DF9C02}" xr6:coauthVersionLast="47" xr6:coauthVersionMax="47" xr10:uidLastSave="{00000000-0000-0000-0000-000000000000}"/>
  <bookViews>
    <workbookView xWindow="-120" yWindow="-120" windowWidth="29040" windowHeight="17640" activeTab="1" xr2:uid="{26EEB946-AE10-4C80-93AD-87C66CBD13A1}"/>
  </bookViews>
  <sheets>
    <sheet name="Sys-Pass_lr" sheetId="1" r:id="rId1"/>
    <sheet name="Sys-Fail_lr" sheetId="5" r:id="rId2"/>
    <sheet name="Sys-Dropout_lr" sheetId="4" r:id="rId3"/>
    <sheet name="probaPass" sheetId="8" r:id="rId4"/>
    <sheet name="probaFail" sheetId="9" r:id="rId5"/>
    <sheet name="probaDropout" sheetId="6" r:id="rId6"/>
    <sheet name="Proba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1" i="10" l="1"/>
  <c r="E201" i="10"/>
  <c r="C201" i="10"/>
  <c r="B201" i="10"/>
  <c r="A201" i="10"/>
  <c r="J4" i="10"/>
  <c r="J5" i="10" s="1"/>
  <c r="J6" i="10" s="1"/>
  <c r="J7" i="10" s="1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47" i="10" s="1"/>
  <c r="J48" i="10" s="1"/>
  <c r="J49" i="10" s="1"/>
  <c r="J50" i="10" s="1"/>
  <c r="J51" i="10" s="1"/>
  <c r="J52" i="10" s="1"/>
  <c r="J53" i="10" s="1"/>
  <c r="J54" i="10" s="1"/>
  <c r="J55" i="10" s="1"/>
  <c r="J56" i="10" s="1"/>
  <c r="J57" i="10" s="1"/>
  <c r="J58" i="10" s="1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J84" i="10" s="1"/>
  <c r="J85" i="10" s="1"/>
  <c r="J86" i="10" s="1"/>
  <c r="J87" i="10" s="1"/>
  <c r="J88" i="10" s="1"/>
  <c r="J89" i="10" s="1"/>
  <c r="J90" i="10" s="1"/>
  <c r="J91" i="10" s="1"/>
  <c r="J92" i="10" s="1"/>
  <c r="J93" i="10" s="1"/>
  <c r="J94" i="10" s="1"/>
  <c r="J95" i="10" s="1"/>
  <c r="J96" i="10" s="1"/>
  <c r="J97" i="10" s="1"/>
  <c r="J98" i="10" s="1"/>
  <c r="J99" i="10" s="1"/>
  <c r="J100" i="10" s="1"/>
  <c r="J101" i="10" s="1"/>
  <c r="J102" i="10" s="1"/>
  <c r="J103" i="10" s="1"/>
  <c r="J104" i="10" s="1"/>
  <c r="J105" i="10" s="1"/>
  <c r="J106" i="10" s="1"/>
  <c r="J107" i="10" s="1"/>
  <c r="J108" i="10" s="1"/>
  <c r="J109" i="10" s="1"/>
  <c r="J110" i="10" s="1"/>
  <c r="J111" i="10" s="1"/>
  <c r="J112" i="10" s="1"/>
  <c r="J113" i="10" s="1"/>
  <c r="J114" i="10" s="1"/>
  <c r="J115" i="10" s="1"/>
  <c r="J116" i="10" s="1"/>
  <c r="J117" i="10" s="1"/>
  <c r="J118" i="10" s="1"/>
  <c r="J119" i="10" s="1"/>
  <c r="J120" i="10" s="1"/>
  <c r="J121" i="10" s="1"/>
  <c r="J122" i="10" s="1"/>
  <c r="J123" i="10" s="1"/>
  <c r="J124" i="10" s="1"/>
  <c r="J125" i="10" s="1"/>
  <c r="J126" i="10" s="1"/>
  <c r="J127" i="10" s="1"/>
  <c r="J128" i="10" s="1"/>
  <c r="J129" i="10" s="1"/>
  <c r="J130" i="10" s="1"/>
  <c r="J131" i="10" s="1"/>
  <c r="J132" i="10" s="1"/>
  <c r="J133" i="10" s="1"/>
  <c r="J134" i="10" s="1"/>
  <c r="J135" i="10" s="1"/>
  <c r="J136" i="10" s="1"/>
  <c r="J137" i="10" s="1"/>
  <c r="J138" i="10" s="1"/>
  <c r="J139" i="10" s="1"/>
  <c r="J140" i="10" s="1"/>
  <c r="J141" i="10" s="1"/>
  <c r="J142" i="10" s="1"/>
  <c r="J143" i="10" s="1"/>
  <c r="J144" i="10" s="1"/>
  <c r="J145" i="10" s="1"/>
  <c r="J146" i="10" s="1"/>
  <c r="J147" i="10" s="1"/>
  <c r="J148" i="10" s="1"/>
  <c r="J149" i="10" s="1"/>
  <c r="J150" i="10" s="1"/>
  <c r="J151" i="10" s="1"/>
  <c r="J152" i="10" s="1"/>
  <c r="J153" i="10" s="1"/>
  <c r="J154" i="10" s="1"/>
  <c r="J155" i="10" s="1"/>
  <c r="J156" i="10" s="1"/>
  <c r="J157" i="10" s="1"/>
  <c r="J158" i="10" s="1"/>
  <c r="J159" i="10" s="1"/>
  <c r="J160" i="10" s="1"/>
  <c r="J161" i="10" s="1"/>
  <c r="J162" i="10" s="1"/>
  <c r="J163" i="10" s="1"/>
  <c r="J164" i="10" s="1"/>
  <c r="J165" i="10" s="1"/>
  <c r="J166" i="10" s="1"/>
  <c r="J167" i="10" s="1"/>
  <c r="J168" i="10" s="1"/>
  <c r="J169" i="10" s="1"/>
  <c r="J170" i="10" s="1"/>
  <c r="J171" i="10" s="1"/>
  <c r="J172" i="10" s="1"/>
  <c r="J173" i="10" s="1"/>
  <c r="J174" i="10" s="1"/>
  <c r="J175" i="10" s="1"/>
  <c r="J176" i="10" s="1"/>
  <c r="J177" i="10" s="1"/>
  <c r="J178" i="10" s="1"/>
  <c r="J179" i="10" s="1"/>
  <c r="J180" i="10" s="1"/>
  <c r="J181" i="10" s="1"/>
  <c r="J182" i="10" s="1"/>
  <c r="J183" i="10" s="1"/>
  <c r="J184" i="10" s="1"/>
  <c r="J185" i="10" s="1"/>
  <c r="J186" i="10" s="1"/>
  <c r="J187" i="10" s="1"/>
  <c r="J188" i="10" s="1"/>
  <c r="J189" i="10" s="1"/>
  <c r="J190" i="10" s="1"/>
  <c r="J191" i="10" s="1"/>
  <c r="J192" i="10" s="1"/>
  <c r="J193" i="10" s="1"/>
  <c r="J194" i="10" s="1"/>
  <c r="J195" i="10" s="1"/>
  <c r="J196" i="10" s="1"/>
  <c r="J197" i="10" s="1"/>
  <c r="J198" i="10" s="1"/>
  <c r="J199" i="10" s="1"/>
  <c r="J200" i="10" s="1"/>
  <c r="J2" i="10"/>
  <c r="J3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1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1" i="10"/>
  <c r="A194" i="10"/>
  <c r="A195" i="10"/>
  <c r="A196" i="10"/>
  <c r="A197" i="10"/>
  <c r="A198" i="10"/>
  <c r="A199" i="10"/>
  <c r="A200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1" i="10"/>
  <c r="AI4" i="6"/>
  <c r="AI11" i="6"/>
  <c r="AI12" i="6"/>
  <c r="AI13" i="6"/>
  <c r="AI14" i="6"/>
  <c r="AI15" i="6"/>
  <c r="AI16" i="6"/>
  <c r="AI17" i="6"/>
  <c r="AI18" i="6"/>
  <c r="AI27" i="6"/>
  <c r="AI30" i="6"/>
  <c r="AI32" i="6"/>
  <c r="AI33" i="6"/>
  <c r="AI36" i="6"/>
  <c r="AI43" i="6"/>
  <c r="AI44" i="6"/>
  <c r="AI45" i="6"/>
  <c r="AI46" i="6"/>
  <c r="AI47" i="6"/>
  <c r="AI48" i="6"/>
  <c r="AI59" i="6"/>
  <c r="AI60" i="6"/>
  <c r="AI61" i="6"/>
  <c r="AI62" i="6"/>
  <c r="AI64" i="6"/>
  <c r="AI65" i="6"/>
  <c r="AI66" i="6"/>
  <c r="AI68" i="6"/>
  <c r="AI75" i="6"/>
  <c r="AI76" i="6"/>
  <c r="AI77" i="6"/>
  <c r="AI78" i="6"/>
  <c r="AI80" i="6"/>
  <c r="AI81" i="6"/>
  <c r="AI84" i="6"/>
  <c r="AI91" i="6"/>
  <c r="AI92" i="6"/>
  <c r="AI95" i="6"/>
  <c r="AI96" i="6"/>
  <c r="AI97" i="6"/>
  <c r="AI98" i="6"/>
  <c r="AI100" i="6"/>
  <c r="AI107" i="6"/>
  <c r="AI108" i="6"/>
  <c r="AI109" i="6"/>
  <c r="AI110" i="6"/>
  <c r="AI112" i="6"/>
  <c r="AI113" i="6"/>
  <c r="AI114" i="6"/>
  <c r="AI116" i="6"/>
  <c r="AI123" i="6"/>
  <c r="AI126" i="6"/>
  <c r="AI128" i="6"/>
  <c r="AI129" i="6"/>
  <c r="AI130" i="6"/>
  <c r="AI132" i="6"/>
  <c r="AI140" i="6"/>
  <c r="AI142" i="6"/>
  <c r="AI144" i="6"/>
  <c r="AI145" i="6"/>
  <c r="AI146" i="6"/>
  <c r="AI148" i="6"/>
  <c r="AI155" i="6"/>
  <c r="AI156" i="6"/>
  <c r="AI157" i="6"/>
  <c r="AI158" i="6"/>
  <c r="AI159" i="6"/>
  <c r="AI160" i="6"/>
  <c r="AI161" i="6"/>
  <c r="AI162" i="6"/>
  <c r="AI164" i="6"/>
  <c r="AI174" i="6"/>
  <c r="AI175" i="6"/>
  <c r="AI180" i="6"/>
  <c r="AI187" i="6"/>
  <c r="AI188" i="6"/>
  <c r="AI189" i="6"/>
  <c r="AI190" i="6"/>
  <c r="AI191" i="6"/>
  <c r="AI192" i="6"/>
  <c r="AI193" i="6"/>
  <c r="AI196" i="6"/>
  <c r="AH4" i="9"/>
  <c r="AH5" i="9"/>
  <c r="AH6" i="9"/>
  <c r="AH7" i="9"/>
  <c r="AH8" i="9"/>
  <c r="AH9" i="9"/>
  <c r="AH10" i="9"/>
  <c r="AH11" i="9"/>
  <c r="AH20" i="9"/>
  <c r="AH21" i="9"/>
  <c r="AH22" i="9"/>
  <c r="AH23" i="9"/>
  <c r="AH24" i="9"/>
  <c r="AH25" i="9"/>
  <c r="AH26" i="9"/>
  <c r="AH27" i="9"/>
  <c r="AH36" i="9"/>
  <c r="AH37" i="9"/>
  <c r="AH38" i="9"/>
  <c r="AH39" i="9"/>
  <c r="AH40" i="9"/>
  <c r="AH41" i="9"/>
  <c r="AH42" i="9"/>
  <c r="AH43" i="9"/>
  <c r="AH52" i="9"/>
  <c r="AH53" i="9"/>
  <c r="AH54" i="9"/>
  <c r="AH55" i="9"/>
  <c r="AH56" i="9"/>
  <c r="AH57" i="9"/>
  <c r="AH58" i="9"/>
  <c r="AH59" i="9"/>
  <c r="AH68" i="9"/>
  <c r="AH69" i="9"/>
  <c r="AH70" i="9"/>
  <c r="AH71" i="9"/>
  <c r="AH72" i="9"/>
  <c r="AH73" i="9"/>
  <c r="AH74" i="9"/>
  <c r="AH75" i="9"/>
  <c r="AH84" i="9"/>
  <c r="AH85" i="9"/>
  <c r="AH86" i="9"/>
  <c r="AH87" i="9"/>
  <c r="AH88" i="9"/>
  <c r="AH89" i="9"/>
  <c r="AH90" i="9"/>
  <c r="AH91" i="9"/>
  <c r="AH100" i="9"/>
  <c r="AH101" i="9"/>
  <c r="AH102" i="9"/>
  <c r="AH103" i="9"/>
  <c r="AH104" i="9"/>
  <c r="AH105" i="9"/>
  <c r="AH106" i="9"/>
  <c r="AH107" i="9"/>
  <c r="AH116" i="9"/>
  <c r="AH117" i="9"/>
  <c r="AH119" i="9"/>
  <c r="AH120" i="9"/>
  <c r="AH121" i="9"/>
  <c r="AH122" i="9"/>
  <c r="AH123" i="9"/>
  <c r="AH132" i="9"/>
  <c r="AH133" i="9"/>
  <c r="AH134" i="9"/>
  <c r="AH135" i="9"/>
  <c r="AH136" i="9"/>
  <c r="AH137" i="9"/>
  <c r="AH138" i="9"/>
  <c r="AH139" i="9"/>
  <c r="AH148" i="9"/>
  <c r="AH149" i="9"/>
  <c r="AH150" i="9"/>
  <c r="AH151" i="9"/>
  <c r="AH152" i="9"/>
  <c r="AH153" i="9"/>
  <c r="AH154" i="9"/>
  <c r="AH155" i="9"/>
  <c r="AH164" i="9"/>
  <c r="AH165" i="9"/>
  <c r="AH166" i="9"/>
  <c r="AH167" i="9"/>
  <c r="AH168" i="9"/>
  <c r="AH169" i="9"/>
  <c r="AH170" i="9"/>
  <c r="AH171" i="9"/>
  <c r="AH180" i="9"/>
  <c r="AH181" i="9"/>
  <c r="AH182" i="9"/>
  <c r="AH183" i="9"/>
  <c r="AH184" i="9"/>
  <c r="AH185" i="9"/>
  <c r="AH186" i="9"/>
  <c r="AH187" i="9"/>
  <c r="AH196" i="9"/>
  <c r="AH197" i="9"/>
  <c r="AH198" i="9"/>
  <c r="AH199" i="9"/>
  <c r="AH200" i="9"/>
  <c r="AH201" i="9"/>
  <c r="AH2" i="9"/>
  <c r="AH3" i="6"/>
  <c r="AI3" i="6" s="1"/>
  <c r="AH4" i="6"/>
  <c r="AH5" i="6"/>
  <c r="AI5" i="6" s="1"/>
  <c r="AH6" i="6"/>
  <c r="AI6" i="6" s="1"/>
  <c r="AH7" i="6"/>
  <c r="AI7" i="6" s="1"/>
  <c r="AH8" i="6"/>
  <c r="AI8" i="6" s="1"/>
  <c r="AH9" i="6"/>
  <c r="AI9" i="6" s="1"/>
  <c r="AH10" i="6"/>
  <c r="AI10" i="6" s="1"/>
  <c r="AH11" i="6"/>
  <c r="AH12" i="6"/>
  <c r="AH13" i="6"/>
  <c r="AH14" i="6"/>
  <c r="AH15" i="6"/>
  <c r="AH16" i="6"/>
  <c r="AH17" i="6"/>
  <c r="AH18" i="6"/>
  <c r="AH19" i="6"/>
  <c r="AI19" i="6" s="1"/>
  <c r="AH20" i="6"/>
  <c r="AI20" i="6" s="1"/>
  <c r="AH21" i="6"/>
  <c r="AI21" i="6" s="1"/>
  <c r="AH22" i="6"/>
  <c r="AI22" i="6" s="1"/>
  <c r="AH23" i="6"/>
  <c r="AI23" i="6" s="1"/>
  <c r="AH24" i="6"/>
  <c r="AI24" i="6" s="1"/>
  <c r="AH25" i="6"/>
  <c r="AI25" i="6" s="1"/>
  <c r="AH26" i="6"/>
  <c r="AI26" i="6" s="1"/>
  <c r="AH27" i="6"/>
  <c r="AH28" i="6"/>
  <c r="AI28" i="6" s="1"/>
  <c r="AH29" i="6"/>
  <c r="AI29" i="6" s="1"/>
  <c r="AH30" i="6"/>
  <c r="AH31" i="6"/>
  <c r="AI31" i="6" s="1"/>
  <c r="AH32" i="6"/>
  <c r="AH33" i="6"/>
  <c r="AH34" i="6"/>
  <c r="AI34" i="6" s="1"/>
  <c r="AH35" i="6"/>
  <c r="AI35" i="6" s="1"/>
  <c r="AH36" i="6"/>
  <c r="AH37" i="6"/>
  <c r="AI37" i="6" s="1"/>
  <c r="AH38" i="6"/>
  <c r="AI38" i="6" s="1"/>
  <c r="AH39" i="6"/>
  <c r="AI39" i="6" s="1"/>
  <c r="AH40" i="6"/>
  <c r="AI40" i="6" s="1"/>
  <c r="AH41" i="6"/>
  <c r="AI41" i="6" s="1"/>
  <c r="AH42" i="6"/>
  <c r="AI42" i="6" s="1"/>
  <c r="AH43" i="6"/>
  <c r="AH44" i="6"/>
  <c r="AH45" i="6"/>
  <c r="AH46" i="6"/>
  <c r="AH47" i="6"/>
  <c r="AH48" i="6"/>
  <c r="AH49" i="6"/>
  <c r="AI49" i="6" s="1"/>
  <c r="AH50" i="6"/>
  <c r="AI50" i="6" s="1"/>
  <c r="AH51" i="6"/>
  <c r="AI51" i="6" s="1"/>
  <c r="AH52" i="6"/>
  <c r="AI52" i="6" s="1"/>
  <c r="AH53" i="6"/>
  <c r="AI53" i="6" s="1"/>
  <c r="AH54" i="6"/>
  <c r="AI54" i="6" s="1"/>
  <c r="AH55" i="6"/>
  <c r="AI55" i="6" s="1"/>
  <c r="AH56" i="6"/>
  <c r="AI56" i="6" s="1"/>
  <c r="AH57" i="6"/>
  <c r="AI57" i="6" s="1"/>
  <c r="AH58" i="6"/>
  <c r="AI58" i="6" s="1"/>
  <c r="AH59" i="6"/>
  <c r="AH60" i="6"/>
  <c r="AH61" i="6"/>
  <c r="AH62" i="6"/>
  <c r="AH63" i="6"/>
  <c r="AI63" i="6" s="1"/>
  <c r="AH64" i="6"/>
  <c r="AH65" i="6"/>
  <c r="AH66" i="6"/>
  <c r="AH67" i="6"/>
  <c r="AI67" i="6" s="1"/>
  <c r="AH68" i="6"/>
  <c r="AH69" i="6"/>
  <c r="AI69" i="6" s="1"/>
  <c r="AH70" i="6"/>
  <c r="AI70" i="6" s="1"/>
  <c r="AH71" i="6"/>
  <c r="AI71" i="6" s="1"/>
  <c r="AH72" i="6"/>
  <c r="AI72" i="6" s="1"/>
  <c r="AH73" i="6"/>
  <c r="AI73" i="6" s="1"/>
  <c r="AH74" i="6"/>
  <c r="AI74" i="6" s="1"/>
  <c r="AH75" i="6"/>
  <c r="AH76" i="6"/>
  <c r="AH77" i="6"/>
  <c r="AH78" i="6"/>
  <c r="AH79" i="6"/>
  <c r="AI79" i="6" s="1"/>
  <c r="AH80" i="6"/>
  <c r="AH81" i="6"/>
  <c r="AH82" i="6"/>
  <c r="AI82" i="6" s="1"/>
  <c r="AH83" i="6"/>
  <c r="AI83" i="6" s="1"/>
  <c r="AH84" i="6"/>
  <c r="AH85" i="6"/>
  <c r="AI85" i="6" s="1"/>
  <c r="AH86" i="6"/>
  <c r="AI86" i="6" s="1"/>
  <c r="AH87" i="6"/>
  <c r="AI87" i="6" s="1"/>
  <c r="AH88" i="6"/>
  <c r="AI88" i="6" s="1"/>
  <c r="AH89" i="6"/>
  <c r="AI89" i="6" s="1"/>
  <c r="AH90" i="6"/>
  <c r="AI90" i="6" s="1"/>
  <c r="AH91" i="6"/>
  <c r="AH92" i="6"/>
  <c r="AH93" i="6"/>
  <c r="AI93" i="6" s="1"/>
  <c r="AH94" i="6"/>
  <c r="AI94" i="6" s="1"/>
  <c r="AH95" i="6"/>
  <c r="AH96" i="6"/>
  <c r="AH97" i="6"/>
  <c r="AH98" i="6"/>
  <c r="AH99" i="6"/>
  <c r="AI99" i="6" s="1"/>
  <c r="AH100" i="6"/>
  <c r="AH101" i="6"/>
  <c r="AI101" i="6" s="1"/>
  <c r="AH102" i="6"/>
  <c r="AI102" i="6" s="1"/>
  <c r="AH103" i="6"/>
  <c r="AI103" i="6" s="1"/>
  <c r="AH104" i="6"/>
  <c r="AI104" i="6" s="1"/>
  <c r="AH105" i="6"/>
  <c r="AI105" i="6" s="1"/>
  <c r="AH106" i="6"/>
  <c r="AI106" i="6" s="1"/>
  <c r="AH107" i="6"/>
  <c r="AH108" i="6"/>
  <c r="AH109" i="6"/>
  <c r="AH110" i="6"/>
  <c r="AH111" i="6"/>
  <c r="AI111" i="6" s="1"/>
  <c r="AH112" i="6"/>
  <c r="AH113" i="6"/>
  <c r="AH114" i="6"/>
  <c r="AH115" i="6"/>
  <c r="AI115" i="6" s="1"/>
  <c r="AH116" i="6"/>
  <c r="AH117" i="6"/>
  <c r="AI117" i="6" s="1"/>
  <c r="AH118" i="6"/>
  <c r="AI118" i="6" s="1"/>
  <c r="AH119" i="6"/>
  <c r="AI119" i="6" s="1"/>
  <c r="AH120" i="6"/>
  <c r="AI120" i="6" s="1"/>
  <c r="AH121" i="6"/>
  <c r="AI121" i="6" s="1"/>
  <c r="AH122" i="6"/>
  <c r="AI122" i="6" s="1"/>
  <c r="AH123" i="6"/>
  <c r="AH124" i="6"/>
  <c r="AI124" i="6" s="1"/>
  <c r="AH125" i="6"/>
  <c r="AI125" i="6" s="1"/>
  <c r="AH126" i="6"/>
  <c r="AH127" i="6"/>
  <c r="AI127" i="6" s="1"/>
  <c r="AH128" i="6"/>
  <c r="AH129" i="6"/>
  <c r="AH130" i="6"/>
  <c r="AH131" i="6"/>
  <c r="AI131" i="6" s="1"/>
  <c r="AH132" i="6"/>
  <c r="AH133" i="6"/>
  <c r="AI133" i="6" s="1"/>
  <c r="AH134" i="6"/>
  <c r="AI134" i="6" s="1"/>
  <c r="AH135" i="6"/>
  <c r="AI135" i="6" s="1"/>
  <c r="AH136" i="6"/>
  <c r="AI136" i="6" s="1"/>
  <c r="AH137" i="6"/>
  <c r="AI137" i="6" s="1"/>
  <c r="AH138" i="6"/>
  <c r="AI138" i="6" s="1"/>
  <c r="AH139" i="6"/>
  <c r="AI139" i="6" s="1"/>
  <c r="AH140" i="6"/>
  <c r="AH141" i="6"/>
  <c r="AI141" i="6" s="1"/>
  <c r="AH142" i="6"/>
  <c r="AH143" i="6"/>
  <c r="AI143" i="6" s="1"/>
  <c r="AH144" i="6"/>
  <c r="AH145" i="6"/>
  <c r="AH146" i="6"/>
  <c r="AH147" i="6"/>
  <c r="AI147" i="6" s="1"/>
  <c r="AH148" i="6"/>
  <c r="AH149" i="6"/>
  <c r="AI149" i="6" s="1"/>
  <c r="AH150" i="6"/>
  <c r="AI150" i="6" s="1"/>
  <c r="AH151" i="6"/>
  <c r="AI151" i="6" s="1"/>
  <c r="AH152" i="6"/>
  <c r="AI152" i="6" s="1"/>
  <c r="AH153" i="6"/>
  <c r="AI153" i="6" s="1"/>
  <c r="AH154" i="6"/>
  <c r="AI154" i="6" s="1"/>
  <c r="AH155" i="6"/>
  <c r="AH156" i="6"/>
  <c r="AH157" i="6"/>
  <c r="AH158" i="6"/>
  <c r="AH159" i="6"/>
  <c r="AH160" i="6"/>
  <c r="AH161" i="6"/>
  <c r="AH162" i="6"/>
  <c r="AH163" i="6"/>
  <c r="AI163" i="6" s="1"/>
  <c r="AH164" i="6"/>
  <c r="AH165" i="6"/>
  <c r="AI165" i="6" s="1"/>
  <c r="AH166" i="6"/>
  <c r="AI166" i="6" s="1"/>
  <c r="AH167" i="6"/>
  <c r="AI167" i="6" s="1"/>
  <c r="AH168" i="6"/>
  <c r="AI168" i="6" s="1"/>
  <c r="AH169" i="6"/>
  <c r="AI169" i="6" s="1"/>
  <c r="AH170" i="6"/>
  <c r="AI170" i="6" s="1"/>
  <c r="AH171" i="6"/>
  <c r="AI171" i="6" s="1"/>
  <c r="AH172" i="6"/>
  <c r="AI172" i="6" s="1"/>
  <c r="AH173" i="6"/>
  <c r="AI173" i="6" s="1"/>
  <c r="AH174" i="6"/>
  <c r="AH175" i="6"/>
  <c r="AH176" i="6"/>
  <c r="AI176" i="6" s="1"/>
  <c r="AH177" i="6"/>
  <c r="AI177" i="6" s="1"/>
  <c r="AH178" i="6"/>
  <c r="AI178" i="6" s="1"/>
  <c r="AH179" i="6"/>
  <c r="AI179" i="6" s="1"/>
  <c r="AH180" i="6"/>
  <c r="AH181" i="6"/>
  <c r="AI181" i="6" s="1"/>
  <c r="AH182" i="6"/>
  <c r="AI182" i="6" s="1"/>
  <c r="AH183" i="6"/>
  <c r="AI183" i="6" s="1"/>
  <c r="AH184" i="6"/>
  <c r="AI184" i="6" s="1"/>
  <c r="AH185" i="6"/>
  <c r="AI185" i="6" s="1"/>
  <c r="AH186" i="6"/>
  <c r="AI186" i="6" s="1"/>
  <c r="AH187" i="6"/>
  <c r="AH188" i="6"/>
  <c r="AH189" i="6"/>
  <c r="AH190" i="6"/>
  <c r="AH191" i="6"/>
  <c r="AH192" i="6"/>
  <c r="AH193" i="6"/>
  <c r="AH194" i="6"/>
  <c r="AI194" i="6" s="1"/>
  <c r="AH195" i="6"/>
  <c r="AI195" i="6" s="1"/>
  <c r="AH196" i="6"/>
  <c r="AH197" i="6"/>
  <c r="AI197" i="6" s="1"/>
  <c r="AH198" i="6"/>
  <c r="AI198" i="6" s="1"/>
  <c r="AH199" i="6"/>
  <c r="AI199" i="6" s="1"/>
  <c r="AH200" i="6"/>
  <c r="AI200" i="6" s="1"/>
  <c r="AH201" i="6"/>
  <c r="AI201" i="6" s="1"/>
  <c r="AH2" i="6"/>
  <c r="AI2" i="6" s="1"/>
  <c r="AF3" i="8"/>
  <c r="AG3" i="8" s="1"/>
  <c r="AF4" i="8"/>
  <c r="AG4" i="8" s="1"/>
  <c r="AF5" i="8"/>
  <c r="AG5" i="8" s="1"/>
  <c r="AF6" i="8"/>
  <c r="AG6" i="8" s="1"/>
  <c r="AF7" i="8"/>
  <c r="AG7" i="8" s="1"/>
  <c r="AF8" i="8"/>
  <c r="AG8" i="8" s="1"/>
  <c r="AF9" i="8"/>
  <c r="AG9" i="8" s="1"/>
  <c r="AF10" i="8"/>
  <c r="AG10" i="8" s="1"/>
  <c r="AF11" i="8"/>
  <c r="AG11" i="8" s="1"/>
  <c r="AF12" i="8"/>
  <c r="AG12" i="8" s="1"/>
  <c r="AF13" i="8"/>
  <c r="AG13" i="8" s="1"/>
  <c r="AF14" i="8"/>
  <c r="AG14" i="8" s="1"/>
  <c r="AF15" i="8"/>
  <c r="AG15" i="8" s="1"/>
  <c r="AF16" i="8"/>
  <c r="AG16" i="8" s="1"/>
  <c r="AF17" i="8"/>
  <c r="AG17" i="8" s="1"/>
  <c r="AF18" i="8"/>
  <c r="AG18" i="8" s="1"/>
  <c r="AF19" i="8"/>
  <c r="AG19" i="8" s="1"/>
  <c r="AF20" i="8"/>
  <c r="AG20" i="8" s="1"/>
  <c r="AF21" i="8"/>
  <c r="AG21" i="8" s="1"/>
  <c r="AF22" i="8"/>
  <c r="AG22" i="8" s="1"/>
  <c r="AF23" i="8"/>
  <c r="AG23" i="8" s="1"/>
  <c r="AF24" i="8"/>
  <c r="AG24" i="8" s="1"/>
  <c r="AF25" i="8"/>
  <c r="AG25" i="8" s="1"/>
  <c r="AF26" i="8"/>
  <c r="AG26" i="8" s="1"/>
  <c r="AF27" i="8"/>
  <c r="AG27" i="8" s="1"/>
  <c r="AF28" i="8"/>
  <c r="AG28" i="8" s="1"/>
  <c r="AF29" i="8"/>
  <c r="AG29" i="8" s="1"/>
  <c r="AF30" i="8"/>
  <c r="AG30" i="8" s="1"/>
  <c r="AF31" i="8"/>
  <c r="AG31" i="8" s="1"/>
  <c r="AF32" i="8"/>
  <c r="AG32" i="8" s="1"/>
  <c r="AF33" i="8"/>
  <c r="AG33" i="8" s="1"/>
  <c r="AF34" i="8"/>
  <c r="AG34" i="8" s="1"/>
  <c r="AF35" i="8"/>
  <c r="AG35" i="8" s="1"/>
  <c r="AF36" i="8"/>
  <c r="AG36" i="8" s="1"/>
  <c r="AF37" i="8"/>
  <c r="AG37" i="8" s="1"/>
  <c r="AF38" i="8"/>
  <c r="AG38" i="8" s="1"/>
  <c r="AF39" i="8"/>
  <c r="AG39" i="8" s="1"/>
  <c r="AF40" i="8"/>
  <c r="AG40" i="8" s="1"/>
  <c r="AF41" i="8"/>
  <c r="AG41" i="8" s="1"/>
  <c r="AF42" i="8"/>
  <c r="AG42" i="8" s="1"/>
  <c r="AF43" i="8"/>
  <c r="AG43" i="8" s="1"/>
  <c r="AF44" i="8"/>
  <c r="AG44" i="8" s="1"/>
  <c r="AF45" i="8"/>
  <c r="AG45" i="8" s="1"/>
  <c r="AF46" i="8"/>
  <c r="AG46" i="8" s="1"/>
  <c r="AF47" i="8"/>
  <c r="AG47" i="8" s="1"/>
  <c r="AF48" i="8"/>
  <c r="AG48" i="8" s="1"/>
  <c r="AF49" i="8"/>
  <c r="AG49" i="8" s="1"/>
  <c r="AF50" i="8"/>
  <c r="AG50" i="8" s="1"/>
  <c r="AF51" i="8"/>
  <c r="AG51" i="8" s="1"/>
  <c r="AF52" i="8"/>
  <c r="AG52" i="8" s="1"/>
  <c r="AF53" i="8"/>
  <c r="AG53" i="8" s="1"/>
  <c r="AF54" i="8"/>
  <c r="AG54" i="8" s="1"/>
  <c r="AF55" i="8"/>
  <c r="AG55" i="8" s="1"/>
  <c r="AF56" i="8"/>
  <c r="AG56" i="8" s="1"/>
  <c r="AF57" i="8"/>
  <c r="AG57" i="8" s="1"/>
  <c r="AF58" i="8"/>
  <c r="AG58" i="8" s="1"/>
  <c r="AF59" i="8"/>
  <c r="AG59" i="8" s="1"/>
  <c r="AF60" i="8"/>
  <c r="AG60" i="8" s="1"/>
  <c r="AF61" i="8"/>
  <c r="AG61" i="8" s="1"/>
  <c r="AF62" i="8"/>
  <c r="AG62" i="8" s="1"/>
  <c r="AF63" i="8"/>
  <c r="AG63" i="8" s="1"/>
  <c r="AF64" i="8"/>
  <c r="AG64" i="8" s="1"/>
  <c r="AF65" i="8"/>
  <c r="AG65" i="8" s="1"/>
  <c r="AF66" i="8"/>
  <c r="AG66" i="8" s="1"/>
  <c r="AF67" i="8"/>
  <c r="AG67" i="8" s="1"/>
  <c r="AF68" i="8"/>
  <c r="AG68" i="8" s="1"/>
  <c r="AF69" i="8"/>
  <c r="AG69" i="8" s="1"/>
  <c r="AF70" i="8"/>
  <c r="AG70" i="8" s="1"/>
  <c r="AF71" i="8"/>
  <c r="AG71" i="8" s="1"/>
  <c r="AF72" i="8"/>
  <c r="AG72" i="8" s="1"/>
  <c r="AF73" i="8"/>
  <c r="AG73" i="8" s="1"/>
  <c r="AF74" i="8"/>
  <c r="AG74" i="8" s="1"/>
  <c r="AF75" i="8"/>
  <c r="AG75" i="8" s="1"/>
  <c r="AF76" i="8"/>
  <c r="AG76" i="8" s="1"/>
  <c r="AF77" i="8"/>
  <c r="AG77" i="8" s="1"/>
  <c r="AF78" i="8"/>
  <c r="AG78" i="8" s="1"/>
  <c r="AF79" i="8"/>
  <c r="AG79" i="8" s="1"/>
  <c r="AF80" i="8"/>
  <c r="AG80" i="8" s="1"/>
  <c r="AF81" i="8"/>
  <c r="AG81" i="8" s="1"/>
  <c r="AF82" i="8"/>
  <c r="AG82" i="8" s="1"/>
  <c r="AF83" i="8"/>
  <c r="AG83" i="8" s="1"/>
  <c r="AF84" i="8"/>
  <c r="AG84" i="8" s="1"/>
  <c r="AF85" i="8"/>
  <c r="AG85" i="8" s="1"/>
  <c r="AF86" i="8"/>
  <c r="AG86" i="8" s="1"/>
  <c r="AF87" i="8"/>
  <c r="AG87" i="8" s="1"/>
  <c r="AF88" i="8"/>
  <c r="AG88" i="8" s="1"/>
  <c r="AF89" i="8"/>
  <c r="AG89" i="8" s="1"/>
  <c r="AF90" i="8"/>
  <c r="AG90" i="8" s="1"/>
  <c r="AF91" i="8"/>
  <c r="AG91" i="8" s="1"/>
  <c r="AF92" i="8"/>
  <c r="AG92" i="8" s="1"/>
  <c r="AF93" i="8"/>
  <c r="AG93" i="8" s="1"/>
  <c r="AF94" i="8"/>
  <c r="AG94" i="8" s="1"/>
  <c r="AF95" i="8"/>
  <c r="AG95" i="8" s="1"/>
  <c r="AF96" i="8"/>
  <c r="AG96" i="8" s="1"/>
  <c r="AF97" i="8"/>
  <c r="AG97" i="8" s="1"/>
  <c r="AF98" i="8"/>
  <c r="AG98" i="8" s="1"/>
  <c r="AF99" i="8"/>
  <c r="AG99" i="8" s="1"/>
  <c r="AF100" i="8"/>
  <c r="AG100" i="8" s="1"/>
  <c r="AF101" i="8"/>
  <c r="AG101" i="8" s="1"/>
  <c r="AF102" i="8"/>
  <c r="AG102" i="8" s="1"/>
  <c r="AF103" i="8"/>
  <c r="AG103" i="8" s="1"/>
  <c r="AF104" i="8"/>
  <c r="AG104" i="8" s="1"/>
  <c r="AF105" i="8"/>
  <c r="AG105" i="8" s="1"/>
  <c r="AF106" i="8"/>
  <c r="AG106" i="8" s="1"/>
  <c r="AF107" i="8"/>
  <c r="AG107" i="8" s="1"/>
  <c r="AF108" i="8"/>
  <c r="AG108" i="8" s="1"/>
  <c r="AF109" i="8"/>
  <c r="AG109" i="8" s="1"/>
  <c r="AF110" i="8"/>
  <c r="AG110" i="8" s="1"/>
  <c r="AF111" i="8"/>
  <c r="AG111" i="8" s="1"/>
  <c r="AF112" i="8"/>
  <c r="AG112" i="8" s="1"/>
  <c r="AF113" i="8"/>
  <c r="AG113" i="8" s="1"/>
  <c r="AF114" i="8"/>
  <c r="AG114" i="8" s="1"/>
  <c r="AF115" i="8"/>
  <c r="AG115" i="8" s="1"/>
  <c r="AF116" i="8"/>
  <c r="AG116" i="8" s="1"/>
  <c r="AF117" i="8"/>
  <c r="AG117" i="8" s="1"/>
  <c r="AF118" i="8"/>
  <c r="AG118" i="8" s="1"/>
  <c r="AF119" i="8"/>
  <c r="AG119" i="8" s="1"/>
  <c r="AF120" i="8"/>
  <c r="AG120" i="8" s="1"/>
  <c r="AF121" i="8"/>
  <c r="AG121" i="8" s="1"/>
  <c r="AF122" i="8"/>
  <c r="AG122" i="8" s="1"/>
  <c r="AF123" i="8"/>
  <c r="AG123" i="8" s="1"/>
  <c r="AF124" i="8"/>
  <c r="AG124" i="8" s="1"/>
  <c r="AF125" i="8"/>
  <c r="AG125" i="8" s="1"/>
  <c r="AF126" i="8"/>
  <c r="AG126" i="8" s="1"/>
  <c r="AF127" i="8"/>
  <c r="AG127" i="8" s="1"/>
  <c r="AF128" i="8"/>
  <c r="AG128" i="8" s="1"/>
  <c r="AF129" i="8"/>
  <c r="AG129" i="8" s="1"/>
  <c r="AF130" i="8"/>
  <c r="AG130" i="8" s="1"/>
  <c r="AF131" i="8"/>
  <c r="AG131" i="8" s="1"/>
  <c r="AF132" i="8"/>
  <c r="AG132" i="8" s="1"/>
  <c r="AF133" i="8"/>
  <c r="AG133" i="8" s="1"/>
  <c r="AF134" i="8"/>
  <c r="AG134" i="8" s="1"/>
  <c r="AF135" i="8"/>
  <c r="AG135" i="8" s="1"/>
  <c r="AF136" i="8"/>
  <c r="AG136" i="8" s="1"/>
  <c r="AF137" i="8"/>
  <c r="AG137" i="8" s="1"/>
  <c r="AF138" i="8"/>
  <c r="AG138" i="8" s="1"/>
  <c r="AF139" i="8"/>
  <c r="AG139" i="8" s="1"/>
  <c r="AF140" i="8"/>
  <c r="AG140" i="8" s="1"/>
  <c r="AF141" i="8"/>
  <c r="AG141" i="8" s="1"/>
  <c r="AF142" i="8"/>
  <c r="AG142" i="8" s="1"/>
  <c r="AF143" i="8"/>
  <c r="AG143" i="8" s="1"/>
  <c r="AF144" i="8"/>
  <c r="AG144" i="8" s="1"/>
  <c r="AF145" i="8"/>
  <c r="AG145" i="8" s="1"/>
  <c r="AF146" i="8"/>
  <c r="AG146" i="8" s="1"/>
  <c r="AF147" i="8"/>
  <c r="AG147" i="8" s="1"/>
  <c r="AF148" i="8"/>
  <c r="AG148" i="8" s="1"/>
  <c r="AF149" i="8"/>
  <c r="AG149" i="8" s="1"/>
  <c r="AF150" i="8"/>
  <c r="AG150" i="8" s="1"/>
  <c r="AF151" i="8"/>
  <c r="AG151" i="8" s="1"/>
  <c r="AF152" i="8"/>
  <c r="AG152" i="8" s="1"/>
  <c r="AF153" i="8"/>
  <c r="AG153" i="8" s="1"/>
  <c r="AF154" i="8"/>
  <c r="AG154" i="8" s="1"/>
  <c r="AF155" i="8"/>
  <c r="AG155" i="8" s="1"/>
  <c r="AF156" i="8"/>
  <c r="AG156" i="8" s="1"/>
  <c r="AF157" i="8"/>
  <c r="AG157" i="8" s="1"/>
  <c r="AF158" i="8"/>
  <c r="AG158" i="8" s="1"/>
  <c r="AF159" i="8"/>
  <c r="AG159" i="8" s="1"/>
  <c r="AF160" i="8"/>
  <c r="AG160" i="8" s="1"/>
  <c r="AF161" i="8"/>
  <c r="AG161" i="8" s="1"/>
  <c r="AF162" i="8"/>
  <c r="AG162" i="8" s="1"/>
  <c r="AF163" i="8"/>
  <c r="AG163" i="8" s="1"/>
  <c r="AF164" i="8"/>
  <c r="AG164" i="8" s="1"/>
  <c r="AF165" i="8"/>
  <c r="AG165" i="8" s="1"/>
  <c r="AF166" i="8"/>
  <c r="AG166" i="8" s="1"/>
  <c r="AF167" i="8"/>
  <c r="AG167" i="8" s="1"/>
  <c r="AF168" i="8"/>
  <c r="AG168" i="8" s="1"/>
  <c r="AF169" i="8"/>
  <c r="AG169" i="8" s="1"/>
  <c r="AF170" i="8"/>
  <c r="AG170" i="8" s="1"/>
  <c r="AF171" i="8"/>
  <c r="AG171" i="8" s="1"/>
  <c r="AF172" i="8"/>
  <c r="AG172" i="8" s="1"/>
  <c r="AF173" i="8"/>
  <c r="AG173" i="8" s="1"/>
  <c r="AF174" i="8"/>
  <c r="AG174" i="8" s="1"/>
  <c r="AF175" i="8"/>
  <c r="AG175" i="8" s="1"/>
  <c r="AF176" i="8"/>
  <c r="AG176" i="8" s="1"/>
  <c r="AF177" i="8"/>
  <c r="AG177" i="8" s="1"/>
  <c r="AF178" i="8"/>
  <c r="AG178" i="8" s="1"/>
  <c r="AF179" i="8"/>
  <c r="AG179" i="8" s="1"/>
  <c r="AF180" i="8"/>
  <c r="AG180" i="8" s="1"/>
  <c r="AF181" i="8"/>
  <c r="AG181" i="8" s="1"/>
  <c r="AF182" i="8"/>
  <c r="AG182" i="8" s="1"/>
  <c r="AF183" i="8"/>
  <c r="AG183" i="8" s="1"/>
  <c r="AF184" i="8"/>
  <c r="AG184" i="8" s="1"/>
  <c r="AF185" i="8"/>
  <c r="AG185" i="8" s="1"/>
  <c r="AF186" i="8"/>
  <c r="AG186" i="8" s="1"/>
  <c r="AF187" i="8"/>
  <c r="AG187" i="8" s="1"/>
  <c r="AF188" i="8"/>
  <c r="AG188" i="8" s="1"/>
  <c r="AF189" i="8"/>
  <c r="AG189" i="8" s="1"/>
  <c r="AF190" i="8"/>
  <c r="AG190" i="8" s="1"/>
  <c r="AF191" i="8"/>
  <c r="AG191" i="8" s="1"/>
  <c r="AF192" i="8"/>
  <c r="AG192" i="8" s="1"/>
  <c r="AF193" i="8"/>
  <c r="AG193" i="8" s="1"/>
  <c r="AF194" i="8"/>
  <c r="AG194" i="8" s="1"/>
  <c r="AF195" i="8"/>
  <c r="AG195" i="8" s="1"/>
  <c r="AF196" i="8"/>
  <c r="AG196" i="8" s="1"/>
  <c r="AF197" i="8"/>
  <c r="AG197" i="8" s="1"/>
  <c r="AF198" i="8"/>
  <c r="AG198" i="8" s="1"/>
  <c r="AF199" i="8"/>
  <c r="AG199" i="8" s="1"/>
  <c r="AF200" i="8"/>
  <c r="AG200" i="8" s="1"/>
  <c r="AF201" i="8"/>
  <c r="AG201" i="8" s="1"/>
  <c r="AF2" i="8"/>
  <c r="AG2" i="8" s="1"/>
  <c r="AG4" i="9"/>
  <c r="AG5" i="9"/>
  <c r="AG6" i="9"/>
  <c r="AG7" i="9"/>
  <c r="AG8" i="9"/>
  <c r="AG9" i="9"/>
  <c r="AG10" i="9"/>
  <c r="AG11" i="9"/>
  <c r="AG12" i="9"/>
  <c r="AH12" i="9" s="1"/>
  <c r="AG13" i="9"/>
  <c r="AH13" i="9" s="1"/>
  <c r="AG14" i="9"/>
  <c r="AH14" i="9" s="1"/>
  <c r="AG15" i="9"/>
  <c r="AH15" i="9" s="1"/>
  <c r="AG16" i="9"/>
  <c r="AH16" i="9" s="1"/>
  <c r="AG17" i="9"/>
  <c r="AH17" i="9" s="1"/>
  <c r="AG18" i="9"/>
  <c r="AH18" i="9" s="1"/>
  <c r="AG19" i="9"/>
  <c r="AH19" i="9" s="1"/>
  <c r="AG20" i="9"/>
  <c r="AG21" i="9"/>
  <c r="AG22" i="9"/>
  <c r="AG23" i="9"/>
  <c r="AG24" i="9"/>
  <c r="AG25" i="9"/>
  <c r="AG26" i="9"/>
  <c r="AG27" i="9"/>
  <c r="AG28" i="9"/>
  <c r="AH28" i="9" s="1"/>
  <c r="AG29" i="9"/>
  <c r="AH29" i="9" s="1"/>
  <c r="AG30" i="9"/>
  <c r="AH30" i="9" s="1"/>
  <c r="AG31" i="9"/>
  <c r="AH31" i="9" s="1"/>
  <c r="AG32" i="9"/>
  <c r="AH32" i="9" s="1"/>
  <c r="AG33" i="9"/>
  <c r="AH33" i="9" s="1"/>
  <c r="AG34" i="9"/>
  <c r="AH34" i="9" s="1"/>
  <c r="AG35" i="9"/>
  <c r="AH35" i="9" s="1"/>
  <c r="AG36" i="9"/>
  <c r="AG37" i="9"/>
  <c r="AG38" i="9"/>
  <c r="AG39" i="9"/>
  <c r="AG40" i="9"/>
  <c r="AG41" i="9"/>
  <c r="AG42" i="9"/>
  <c r="AG43" i="9"/>
  <c r="AG44" i="9"/>
  <c r="AH44" i="9" s="1"/>
  <c r="AG45" i="9"/>
  <c r="AH45" i="9" s="1"/>
  <c r="AG46" i="9"/>
  <c r="AH46" i="9" s="1"/>
  <c r="AG47" i="9"/>
  <c r="AH47" i="9" s="1"/>
  <c r="AG48" i="9"/>
  <c r="AH48" i="9" s="1"/>
  <c r="AG49" i="9"/>
  <c r="AH49" i="9" s="1"/>
  <c r="AG50" i="9"/>
  <c r="AH50" i="9" s="1"/>
  <c r="AG51" i="9"/>
  <c r="AH51" i="9" s="1"/>
  <c r="AG52" i="9"/>
  <c r="AG53" i="9"/>
  <c r="AG54" i="9"/>
  <c r="AG55" i="9"/>
  <c r="AG56" i="9"/>
  <c r="AG57" i="9"/>
  <c r="AG58" i="9"/>
  <c r="AG59" i="9"/>
  <c r="AG60" i="9"/>
  <c r="AH60" i="9" s="1"/>
  <c r="AG61" i="9"/>
  <c r="AH61" i="9" s="1"/>
  <c r="AG62" i="9"/>
  <c r="AH62" i="9" s="1"/>
  <c r="AG63" i="9"/>
  <c r="AH63" i="9" s="1"/>
  <c r="AG64" i="9"/>
  <c r="AH64" i="9" s="1"/>
  <c r="AG65" i="9"/>
  <c r="AH65" i="9" s="1"/>
  <c r="AG66" i="9"/>
  <c r="AH66" i="9" s="1"/>
  <c r="AG67" i="9"/>
  <c r="AH67" i="9" s="1"/>
  <c r="AG68" i="9"/>
  <c r="AG69" i="9"/>
  <c r="AG70" i="9"/>
  <c r="AG71" i="9"/>
  <c r="AG72" i="9"/>
  <c r="AG73" i="9"/>
  <c r="AG74" i="9"/>
  <c r="AG75" i="9"/>
  <c r="AG76" i="9"/>
  <c r="AH76" i="9" s="1"/>
  <c r="AG77" i="9"/>
  <c r="AH77" i="9" s="1"/>
  <c r="AG78" i="9"/>
  <c r="AH78" i="9" s="1"/>
  <c r="AG79" i="9"/>
  <c r="AH79" i="9" s="1"/>
  <c r="AG80" i="9"/>
  <c r="AH80" i="9" s="1"/>
  <c r="AG81" i="9"/>
  <c r="AH81" i="9" s="1"/>
  <c r="AG82" i="9"/>
  <c r="AH82" i="9" s="1"/>
  <c r="AG83" i="9"/>
  <c r="AH83" i="9" s="1"/>
  <c r="AG84" i="9"/>
  <c r="AG85" i="9"/>
  <c r="AG86" i="9"/>
  <c r="AG87" i="9"/>
  <c r="AG88" i="9"/>
  <c r="AG89" i="9"/>
  <c r="AG90" i="9"/>
  <c r="AG91" i="9"/>
  <c r="AG92" i="9"/>
  <c r="AH92" i="9" s="1"/>
  <c r="AG93" i="9"/>
  <c r="AH93" i="9" s="1"/>
  <c r="AG94" i="9"/>
  <c r="AH94" i="9" s="1"/>
  <c r="AG95" i="9"/>
  <c r="AH95" i="9" s="1"/>
  <c r="AG96" i="9"/>
  <c r="AH96" i="9" s="1"/>
  <c r="AG97" i="9"/>
  <c r="AH97" i="9" s="1"/>
  <c r="AG98" i="9"/>
  <c r="AH98" i="9" s="1"/>
  <c r="AG99" i="9"/>
  <c r="AH99" i="9" s="1"/>
  <c r="AG100" i="9"/>
  <c r="AG101" i="9"/>
  <c r="AG102" i="9"/>
  <c r="AG103" i="9"/>
  <c r="AG104" i="9"/>
  <c r="AG105" i="9"/>
  <c r="AG106" i="9"/>
  <c r="AG107" i="9"/>
  <c r="AG108" i="9"/>
  <c r="AH108" i="9" s="1"/>
  <c r="AG109" i="9"/>
  <c r="AH109" i="9" s="1"/>
  <c r="AG110" i="9"/>
  <c r="AH110" i="9" s="1"/>
  <c r="AG111" i="9"/>
  <c r="AH111" i="9" s="1"/>
  <c r="AG112" i="9"/>
  <c r="AH112" i="9" s="1"/>
  <c r="AG113" i="9"/>
  <c r="AH113" i="9" s="1"/>
  <c r="AG114" i="9"/>
  <c r="AH114" i="9" s="1"/>
  <c r="AG115" i="9"/>
  <c r="AH115" i="9" s="1"/>
  <c r="AG116" i="9"/>
  <c r="AG117" i="9"/>
  <c r="AG118" i="9"/>
  <c r="AH118" i="9" s="1"/>
  <c r="AG119" i="9"/>
  <c r="AG120" i="9"/>
  <c r="AG121" i="9"/>
  <c r="AG122" i="9"/>
  <c r="AG123" i="9"/>
  <c r="AG124" i="9"/>
  <c r="AH124" i="9" s="1"/>
  <c r="AG125" i="9"/>
  <c r="AH125" i="9" s="1"/>
  <c r="AG126" i="9"/>
  <c r="AH126" i="9" s="1"/>
  <c r="AG127" i="9"/>
  <c r="AH127" i="9" s="1"/>
  <c r="AG128" i="9"/>
  <c r="AH128" i="9" s="1"/>
  <c r="AG129" i="9"/>
  <c r="AH129" i="9" s="1"/>
  <c r="AG130" i="9"/>
  <c r="AH130" i="9" s="1"/>
  <c r="AG131" i="9"/>
  <c r="AH131" i="9" s="1"/>
  <c r="AG132" i="9"/>
  <c r="AG133" i="9"/>
  <c r="AG134" i="9"/>
  <c r="AG135" i="9"/>
  <c r="AG136" i="9"/>
  <c r="AG137" i="9"/>
  <c r="AG138" i="9"/>
  <c r="AG139" i="9"/>
  <c r="AG140" i="9"/>
  <c r="AH140" i="9" s="1"/>
  <c r="AG141" i="9"/>
  <c r="AH141" i="9" s="1"/>
  <c r="AG142" i="9"/>
  <c r="AH142" i="9" s="1"/>
  <c r="AG143" i="9"/>
  <c r="AH143" i="9" s="1"/>
  <c r="AG144" i="9"/>
  <c r="AH144" i="9" s="1"/>
  <c r="AG145" i="9"/>
  <c r="AH145" i="9" s="1"/>
  <c r="AG146" i="9"/>
  <c r="AH146" i="9" s="1"/>
  <c r="AG147" i="9"/>
  <c r="AH147" i="9" s="1"/>
  <c r="AG148" i="9"/>
  <c r="AG149" i="9"/>
  <c r="AG150" i="9"/>
  <c r="AG151" i="9"/>
  <c r="AG152" i="9"/>
  <c r="AG153" i="9"/>
  <c r="AG154" i="9"/>
  <c r="AG155" i="9"/>
  <c r="AG156" i="9"/>
  <c r="AH156" i="9" s="1"/>
  <c r="AG157" i="9"/>
  <c r="AH157" i="9" s="1"/>
  <c r="AG158" i="9"/>
  <c r="AH158" i="9" s="1"/>
  <c r="AG159" i="9"/>
  <c r="AH159" i="9" s="1"/>
  <c r="AG160" i="9"/>
  <c r="AH160" i="9" s="1"/>
  <c r="AG161" i="9"/>
  <c r="AH161" i="9" s="1"/>
  <c r="AG162" i="9"/>
  <c r="AH162" i="9" s="1"/>
  <c r="AG163" i="9"/>
  <c r="AH163" i="9" s="1"/>
  <c r="AG164" i="9"/>
  <c r="AG165" i="9"/>
  <c r="AG166" i="9"/>
  <c r="AG167" i="9"/>
  <c r="AG168" i="9"/>
  <c r="AG169" i="9"/>
  <c r="AG170" i="9"/>
  <c r="AG171" i="9"/>
  <c r="AG172" i="9"/>
  <c r="AH172" i="9" s="1"/>
  <c r="AG173" i="9"/>
  <c r="AH173" i="9" s="1"/>
  <c r="AG174" i="9"/>
  <c r="AH174" i="9" s="1"/>
  <c r="AG175" i="9"/>
  <c r="AH175" i="9" s="1"/>
  <c r="AG176" i="9"/>
  <c r="AH176" i="9" s="1"/>
  <c r="AG177" i="9"/>
  <c r="AH177" i="9" s="1"/>
  <c r="AG178" i="9"/>
  <c r="AH178" i="9" s="1"/>
  <c r="AG179" i="9"/>
  <c r="AH179" i="9" s="1"/>
  <c r="AG180" i="9"/>
  <c r="AG181" i="9"/>
  <c r="AG182" i="9"/>
  <c r="AG183" i="9"/>
  <c r="AG184" i="9"/>
  <c r="AG185" i="9"/>
  <c r="AG186" i="9"/>
  <c r="AG187" i="9"/>
  <c r="AG188" i="9"/>
  <c r="AH188" i="9" s="1"/>
  <c r="AG189" i="9"/>
  <c r="AH189" i="9" s="1"/>
  <c r="AG190" i="9"/>
  <c r="AH190" i="9" s="1"/>
  <c r="AG191" i="9"/>
  <c r="AH191" i="9" s="1"/>
  <c r="AG192" i="9"/>
  <c r="AH192" i="9" s="1"/>
  <c r="AG193" i="9"/>
  <c r="AH193" i="9" s="1"/>
  <c r="AG194" i="9"/>
  <c r="AH194" i="9" s="1"/>
  <c r="AG195" i="9"/>
  <c r="AH195" i="9" s="1"/>
  <c r="AG196" i="9"/>
  <c r="AG197" i="9"/>
  <c r="AG198" i="9"/>
  <c r="AG199" i="9"/>
  <c r="AG200" i="9"/>
  <c r="AG201" i="9"/>
  <c r="AG3" i="9"/>
  <c r="AH3" i="9" s="1"/>
  <c r="AG2" i="9"/>
  <c r="B12" i="5"/>
  <c r="C6" i="5"/>
  <c r="C7" i="5" s="1"/>
  <c r="C8" i="5" s="1"/>
  <c r="F12" i="5"/>
  <c r="G12" i="5"/>
  <c r="P12" i="5"/>
  <c r="E12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O11" i="5" s="1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Y6" i="5"/>
  <c r="X6" i="5"/>
  <c r="S6" i="5"/>
  <c r="Q6" i="5"/>
  <c r="G6" i="5"/>
  <c r="G7" i="5" s="1"/>
  <c r="G8" i="5" s="1"/>
  <c r="AD12" i="5"/>
  <c r="AC12" i="5"/>
  <c r="AB12" i="5"/>
  <c r="AA6" i="5"/>
  <c r="Z12" i="5"/>
  <c r="Y12" i="5"/>
  <c r="X12" i="5"/>
  <c r="W6" i="5"/>
  <c r="V6" i="5"/>
  <c r="U6" i="5"/>
  <c r="T6" i="5"/>
  <c r="S12" i="5"/>
  <c r="R6" i="5"/>
  <c r="P6" i="5"/>
  <c r="P7" i="5" s="1"/>
  <c r="P8" i="5" s="1"/>
  <c r="O6" i="5"/>
  <c r="O7" i="5" s="1"/>
  <c r="O8" i="5" s="1"/>
  <c r="N12" i="5"/>
  <c r="M6" i="5"/>
  <c r="L12" i="5"/>
  <c r="K12" i="5"/>
  <c r="J6" i="5"/>
  <c r="J7" i="5" s="1"/>
  <c r="J8" i="5" s="1"/>
  <c r="I12" i="5"/>
  <c r="H12" i="5"/>
  <c r="I12" i="4"/>
  <c r="F12" i="4"/>
  <c r="E12" i="4"/>
  <c r="D12" i="4"/>
  <c r="C12" i="4"/>
  <c r="B12" i="4"/>
  <c r="AD10" i="4"/>
  <c r="AC10" i="4"/>
  <c r="AB10" i="4"/>
  <c r="AA10" i="4"/>
  <c r="AA11" i="4" s="1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K11" i="4" s="1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Y6" i="4"/>
  <c r="Y7" i="4" s="1"/>
  <c r="Y8" i="4" s="1"/>
  <c r="W6" i="4"/>
  <c r="I6" i="4"/>
  <c r="I7" i="4" s="1"/>
  <c r="I8" i="4" s="1"/>
  <c r="G6" i="4"/>
  <c r="F6" i="4"/>
  <c r="F7" i="4" s="1"/>
  <c r="F8" i="4" s="1"/>
  <c r="E6" i="4"/>
  <c r="E7" i="4" s="1"/>
  <c r="E8" i="4" s="1"/>
  <c r="D6" i="4"/>
  <c r="D7" i="4" s="1"/>
  <c r="D8" i="4" s="1"/>
  <c r="C6" i="4"/>
  <c r="C7" i="4" s="1"/>
  <c r="C8" i="4" s="1"/>
  <c r="B6" i="4"/>
  <c r="B7" i="4" s="1"/>
  <c r="B8" i="4" s="1"/>
  <c r="AD6" i="4"/>
  <c r="AC6" i="4"/>
  <c r="AC7" i="4" s="1"/>
  <c r="AC8" i="4" s="1"/>
  <c r="AB6" i="4"/>
  <c r="AB7" i="4" s="1"/>
  <c r="AB8" i="4" s="1"/>
  <c r="AA6" i="4"/>
  <c r="Z12" i="4"/>
  <c r="Y12" i="4"/>
  <c r="X12" i="4"/>
  <c r="W12" i="4"/>
  <c r="V12" i="4"/>
  <c r="U12" i="4"/>
  <c r="T6" i="4"/>
  <c r="S6" i="4"/>
  <c r="R6" i="4"/>
  <c r="Q12" i="4"/>
  <c r="P6" i="4"/>
  <c r="O12" i="4"/>
  <c r="M6" i="4"/>
  <c r="M7" i="4" s="1"/>
  <c r="M8" i="4" s="1"/>
  <c r="L6" i="4"/>
  <c r="L7" i="4" s="1"/>
  <c r="L8" i="4" s="1"/>
  <c r="K6" i="4"/>
  <c r="K7" i="4" s="1"/>
  <c r="K8" i="4" s="1"/>
  <c r="J12" i="4"/>
  <c r="H6" i="4"/>
  <c r="G12" i="4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K11" i="1"/>
  <c r="N11" i="1"/>
  <c r="C10" i="1"/>
  <c r="D10" i="1"/>
  <c r="E10" i="1"/>
  <c r="F10" i="1"/>
  <c r="G10" i="1"/>
  <c r="H10" i="1"/>
  <c r="I10" i="1"/>
  <c r="I11" i="1" s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Y11" i="1" s="1"/>
  <c r="Z10" i="1"/>
  <c r="AA10" i="1"/>
  <c r="AB10" i="1"/>
  <c r="AC10" i="1"/>
  <c r="AD10" i="1"/>
  <c r="C9" i="1"/>
  <c r="D9" i="1"/>
  <c r="E9" i="1"/>
  <c r="F9" i="1"/>
  <c r="G9" i="1"/>
  <c r="H9" i="1"/>
  <c r="I9" i="1"/>
  <c r="J9" i="1"/>
  <c r="J11" i="1" s="1"/>
  <c r="K9" i="1"/>
  <c r="L9" i="1"/>
  <c r="L11" i="1" s="1"/>
  <c r="M9" i="1"/>
  <c r="M11" i="1" s="1"/>
  <c r="N9" i="1"/>
  <c r="O9" i="1"/>
  <c r="P9" i="1"/>
  <c r="Q9" i="1"/>
  <c r="R9" i="1"/>
  <c r="S9" i="1"/>
  <c r="T9" i="1"/>
  <c r="U9" i="1"/>
  <c r="V9" i="1"/>
  <c r="W9" i="1"/>
  <c r="X9" i="1"/>
  <c r="Y9" i="1"/>
  <c r="Z9" i="1"/>
  <c r="Z11" i="1" s="1"/>
  <c r="AA9" i="1"/>
  <c r="AA11" i="1" s="1"/>
  <c r="AB9" i="1"/>
  <c r="AC9" i="1"/>
  <c r="AC11" i="1" s="1"/>
  <c r="AD9" i="1"/>
  <c r="B12" i="1"/>
  <c r="B10" i="1"/>
  <c r="B9" i="1"/>
  <c r="I6" i="1"/>
  <c r="I7" i="1" s="1"/>
  <c r="I8" i="1" s="1"/>
  <c r="J6" i="1"/>
  <c r="J7" i="1" s="1"/>
  <c r="J8" i="1" s="1"/>
  <c r="K6" i="1"/>
  <c r="K7" i="1" s="1"/>
  <c r="K8" i="1" s="1"/>
  <c r="L6" i="1"/>
  <c r="L7" i="1" s="1"/>
  <c r="L8" i="1" s="1"/>
  <c r="N6" i="1"/>
  <c r="N7" i="1" s="1"/>
  <c r="N8" i="1" s="1"/>
  <c r="P6" i="1"/>
  <c r="P7" i="1" s="1"/>
  <c r="P8" i="1" s="1"/>
  <c r="Q6" i="1"/>
  <c r="Q7" i="1" s="1"/>
  <c r="Q8" i="1" s="1"/>
  <c r="R6" i="1"/>
  <c r="R7" i="1" s="1"/>
  <c r="R8" i="1" s="1"/>
  <c r="S6" i="1"/>
  <c r="S7" i="1" s="1"/>
  <c r="S8" i="1" s="1"/>
  <c r="T6" i="1"/>
  <c r="T7" i="1" s="1"/>
  <c r="T8" i="1" s="1"/>
  <c r="U6" i="1"/>
  <c r="U7" i="1" s="1"/>
  <c r="U8" i="1" s="1"/>
  <c r="V6" i="1"/>
  <c r="V7" i="1" s="1"/>
  <c r="V8" i="1" s="1"/>
  <c r="W6" i="1"/>
  <c r="W7" i="1" s="1"/>
  <c r="W8" i="1" s="1"/>
  <c r="X6" i="1"/>
  <c r="X7" i="1" s="1"/>
  <c r="X8" i="1" s="1"/>
  <c r="Z6" i="1"/>
  <c r="Z7" i="1" s="1"/>
  <c r="Z8" i="1" s="1"/>
  <c r="AA6" i="1"/>
  <c r="AA7" i="1" s="1"/>
  <c r="AA8" i="1" s="1"/>
  <c r="AC6" i="1"/>
  <c r="AC7" i="1" s="1"/>
  <c r="AC8" i="1" s="1"/>
  <c r="AD6" i="1"/>
  <c r="AD7" i="1" s="1"/>
  <c r="AD8" i="1" s="1"/>
  <c r="M6" i="1"/>
  <c r="M7" i="1" s="1"/>
  <c r="M8" i="1" s="1"/>
  <c r="Y6" i="1"/>
  <c r="Y7" i="1" s="1"/>
  <c r="Y8" i="1" s="1"/>
  <c r="AB6" i="1"/>
  <c r="AB7" i="1" s="1"/>
  <c r="AB8" i="1" s="1"/>
  <c r="G6" i="1"/>
  <c r="G7" i="1" s="1"/>
  <c r="G8" i="1" s="1"/>
  <c r="B6" i="1"/>
  <c r="B7" i="1" s="1"/>
  <c r="B8" i="1" s="1"/>
  <c r="C6" i="1"/>
  <c r="C7" i="1" s="1"/>
  <c r="C8" i="1" s="1"/>
  <c r="D6" i="1"/>
  <c r="D7" i="1" s="1"/>
  <c r="D8" i="1" s="1"/>
  <c r="E6" i="1"/>
  <c r="E7" i="1" s="1"/>
  <c r="E8" i="1" s="1"/>
  <c r="F6" i="1"/>
  <c r="F7" i="1" s="1"/>
  <c r="F8" i="1" s="1"/>
  <c r="H6" i="1"/>
  <c r="H7" i="1" s="1"/>
  <c r="H8" i="1" s="1"/>
  <c r="O6" i="1"/>
  <c r="O7" i="1" s="1"/>
  <c r="O8" i="1" s="1"/>
  <c r="L11" i="5" l="1"/>
  <c r="B11" i="1"/>
  <c r="Q11" i="1"/>
  <c r="P11" i="1"/>
  <c r="AB11" i="1"/>
  <c r="O11" i="1"/>
  <c r="AD11" i="1"/>
  <c r="X11" i="1"/>
  <c r="H11" i="1"/>
  <c r="F11" i="4"/>
  <c r="U11" i="4"/>
  <c r="Z11" i="5"/>
  <c r="K11" i="5"/>
  <c r="W11" i="5"/>
  <c r="G11" i="1"/>
  <c r="V11" i="1"/>
  <c r="F11" i="1"/>
  <c r="U11" i="1"/>
  <c r="E11" i="1"/>
  <c r="W11" i="1"/>
  <c r="T11" i="1"/>
  <c r="D11" i="1"/>
  <c r="S11" i="1"/>
  <c r="C11" i="1"/>
  <c r="R11" i="1"/>
  <c r="X11" i="4"/>
  <c r="I11" i="4"/>
  <c r="B11" i="4"/>
  <c r="M11" i="5"/>
  <c r="AC11" i="5"/>
  <c r="AA11" i="5"/>
  <c r="AD11" i="5"/>
  <c r="R11" i="5"/>
  <c r="V11" i="5"/>
  <c r="D11" i="5"/>
  <c r="AD6" i="5"/>
  <c r="AD7" i="5" s="1"/>
  <c r="AD8" i="5" s="1"/>
  <c r="AC6" i="5"/>
  <c r="AC7" i="5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7" i="5"/>
  <c r="S8" i="5" s="1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X7" i="5"/>
  <c r="X8" i="5" s="1"/>
  <c r="W12" i="5"/>
  <c r="Y7" i="5"/>
  <c r="Y8" i="5" s="1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 s="1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  <c r="G7" i="4"/>
  <c r="G8" i="4" s="1"/>
  <c r="W7" i="4"/>
  <c r="W8" i="4" s="1"/>
</calcChain>
</file>

<file path=xl/sharedStrings.xml><?xml version="1.0" encoding="utf-8"?>
<sst xmlns="http://schemas.openxmlformats.org/spreadsheetml/2006/main" count="11650" uniqueCount="28">
  <si>
    <t>Accuracy</t>
  </si>
  <si>
    <t>Erreur</t>
  </si>
  <si>
    <t>Dropout</t>
  </si>
  <si>
    <t>Pass</t>
  </si>
  <si>
    <t>Fail</t>
  </si>
  <si>
    <t>ID_Student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</si>
  <si>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</si>
  <si>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</si>
  <si>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</si>
  <si>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</si>
  <si>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</si>
  <si>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</si>
  <si>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</si>
  <si>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</si>
  <si>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</si>
  <si>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</si>
  <si>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</si>
  <si>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</si>
  <si>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</si>
  <si>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</si>
  <si>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</si>
  <si>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Precision</t>
  </si>
  <si>
    <t>Recall</t>
  </si>
  <si>
    <t>Proba_pass</t>
  </si>
  <si>
    <t>Proba_fail</t>
  </si>
  <si>
    <t>Proba_dropout</t>
  </si>
  <si>
    <t>Result_proba</t>
  </si>
  <si>
    <t>Final_proba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</si>
</sst>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'Sys-Pass_lr'!$A$7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'Sys-Pass_lr'!$B$7:$AD$7</c:f>
              <c:numCache>
                <c:formatCode>General</c:formatCode>
                <c:ptCount val="29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0.89</c:v>
                </c:pt>
                <c:pt idx="5">
                  <c:v>0.9</c:v>
                </c:pt>
                <c:pt idx="6">
                  <c:v>0.89500000000000002</c:v>
                </c:pt>
                <c:pt idx="7">
                  <c:v>0.89</c:v>
                </c:pt>
                <c:pt idx="8">
                  <c:v>0.86499999999999999</c:v>
                </c:pt>
                <c:pt idx="9">
                  <c:v>0.87</c:v>
                </c:pt>
                <c:pt idx="10">
                  <c:v>0.86499999999999999</c:v>
                </c:pt>
                <c:pt idx="11">
                  <c:v>0.87</c:v>
                </c:pt>
                <c:pt idx="12">
                  <c:v>0.89</c:v>
                </c:pt>
                <c:pt idx="13">
                  <c:v>0.89500000000000002</c:v>
                </c:pt>
                <c:pt idx="14">
                  <c:v>0.90500000000000003</c:v>
                </c:pt>
                <c:pt idx="15">
                  <c:v>0.9</c:v>
                </c:pt>
                <c:pt idx="16">
                  <c:v>0.9</c:v>
                </c:pt>
                <c:pt idx="17">
                  <c:v>0.89500000000000002</c:v>
                </c:pt>
                <c:pt idx="18">
                  <c:v>0.91</c:v>
                </c:pt>
                <c:pt idx="19">
                  <c:v>0.92</c:v>
                </c:pt>
                <c:pt idx="20">
                  <c:v>0.92500000000000004</c:v>
                </c:pt>
                <c:pt idx="21">
                  <c:v>0.92500000000000004</c:v>
                </c:pt>
                <c:pt idx="22">
                  <c:v>0.92500000000000004</c:v>
                </c:pt>
                <c:pt idx="23">
                  <c:v>0.93</c:v>
                </c:pt>
                <c:pt idx="24">
                  <c:v>0.93</c:v>
                </c:pt>
                <c:pt idx="25">
                  <c:v>0.93</c:v>
                </c:pt>
                <c:pt idx="26">
                  <c:v>0.93</c:v>
                </c:pt>
                <c:pt idx="27">
                  <c:v>0.93</c:v>
                </c:pt>
                <c:pt idx="28">
                  <c:v>0.92500000000000004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'Sys-Pass_lr'!$A$9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'Sys-Pass_lr'!$B$9:$AD$9</c:f>
              <c:numCache>
                <c:formatCode>General</c:formatCode>
                <c:ptCount val="29"/>
                <c:pt idx="0">
                  <c:v>0.95744680851063835</c:v>
                </c:pt>
                <c:pt idx="1">
                  <c:v>0.95744680851063835</c:v>
                </c:pt>
                <c:pt idx="2">
                  <c:v>0.95744680851063835</c:v>
                </c:pt>
                <c:pt idx="3">
                  <c:v>0.95744680851063835</c:v>
                </c:pt>
                <c:pt idx="4">
                  <c:v>0.95744680851063835</c:v>
                </c:pt>
                <c:pt idx="5">
                  <c:v>0.95744680851063835</c:v>
                </c:pt>
                <c:pt idx="6">
                  <c:v>0.95744680851063835</c:v>
                </c:pt>
                <c:pt idx="7">
                  <c:v>0.95744680851063835</c:v>
                </c:pt>
                <c:pt idx="8">
                  <c:v>0.96808510638297873</c:v>
                </c:pt>
                <c:pt idx="9">
                  <c:v>0.96808510638297873</c:v>
                </c:pt>
                <c:pt idx="10">
                  <c:v>0.96808510638297873</c:v>
                </c:pt>
                <c:pt idx="11">
                  <c:v>0.96808510638297873</c:v>
                </c:pt>
                <c:pt idx="12">
                  <c:v>0.96808510638297873</c:v>
                </c:pt>
                <c:pt idx="13">
                  <c:v>0.97872340425531912</c:v>
                </c:pt>
                <c:pt idx="14">
                  <c:v>1</c:v>
                </c:pt>
                <c:pt idx="15">
                  <c:v>0.98936170212765961</c:v>
                </c:pt>
                <c:pt idx="16">
                  <c:v>0.97872340425531912</c:v>
                </c:pt>
                <c:pt idx="17">
                  <c:v>0.97872340425531912</c:v>
                </c:pt>
                <c:pt idx="18">
                  <c:v>0.96808510638297873</c:v>
                </c:pt>
                <c:pt idx="19">
                  <c:v>0.97872340425531912</c:v>
                </c:pt>
                <c:pt idx="20">
                  <c:v>0.98936170212765961</c:v>
                </c:pt>
                <c:pt idx="21">
                  <c:v>0.98936170212765961</c:v>
                </c:pt>
                <c:pt idx="22">
                  <c:v>0.98936170212765961</c:v>
                </c:pt>
                <c:pt idx="23">
                  <c:v>0.98936170212765961</c:v>
                </c:pt>
                <c:pt idx="24">
                  <c:v>0.98936170212765961</c:v>
                </c:pt>
                <c:pt idx="25">
                  <c:v>0.98936170212765961</c:v>
                </c:pt>
                <c:pt idx="26">
                  <c:v>0.97872340425531912</c:v>
                </c:pt>
                <c:pt idx="27">
                  <c:v>0.97872340425531912</c:v>
                </c:pt>
                <c:pt idx="28">
                  <c:v>0.97872340425531912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'Sys-Pass_lr'!$A$10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'Sys-Pass_lr'!$B$10:$AD$10</c:f>
              <c:numCache>
                <c:formatCode>General</c:formatCode>
                <c:ptCount val="29"/>
                <c:pt idx="0">
                  <c:v>0.84905660377358494</c:v>
                </c:pt>
                <c:pt idx="1">
                  <c:v>0.84905660377358494</c:v>
                </c:pt>
                <c:pt idx="2">
                  <c:v>0.84905660377358494</c:v>
                </c:pt>
                <c:pt idx="3">
                  <c:v>0.84905660377358494</c:v>
                </c:pt>
                <c:pt idx="4">
                  <c:v>0.83333333333333337</c:v>
                </c:pt>
                <c:pt idx="5">
                  <c:v>0.84905660377358494</c:v>
                </c:pt>
                <c:pt idx="6">
                  <c:v>0.84112149532710279</c:v>
                </c:pt>
                <c:pt idx="7">
                  <c:v>0.83333333333333337</c:v>
                </c:pt>
                <c:pt idx="8">
                  <c:v>0.79130434782608694</c:v>
                </c:pt>
                <c:pt idx="9">
                  <c:v>0.79824561403508776</c:v>
                </c:pt>
                <c:pt idx="10">
                  <c:v>0.79130434782608694</c:v>
                </c:pt>
                <c:pt idx="11">
                  <c:v>0.79824561403508776</c:v>
                </c:pt>
                <c:pt idx="12">
                  <c:v>0.82727272727272727</c:v>
                </c:pt>
                <c:pt idx="13">
                  <c:v>0.8288288288288288</c:v>
                </c:pt>
                <c:pt idx="14">
                  <c:v>0.83185840707964598</c:v>
                </c:pt>
                <c:pt idx="15">
                  <c:v>0.8303571428571429</c:v>
                </c:pt>
                <c:pt idx="16">
                  <c:v>0.83636363636363631</c:v>
                </c:pt>
                <c:pt idx="17">
                  <c:v>0.8288288288288288</c:v>
                </c:pt>
                <c:pt idx="18">
                  <c:v>0.85849056603773588</c:v>
                </c:pt>
                <c:pt idx="19">
                  <c:v>0.86792452830188682</c:v>
                </c:pt>
                <c:pt idx="20">
                  <c:v>0.86915887850467288</c:v>
                </c:pt>
                <c:pt idx="21">
                  <c:v>0.86915887850467288</c:v>
                </c:pt>
                <c:pt idx="22">
                  <c:v>0.86915887850467288</c:v>
                </c:pt>
                <c:pt idx="23">
                  <c:v>0.87735849056603776</c:v>
                </c:pt>
                <c:pt idx="24">
                  <c:v>0.87735849056603776</c:v>
                </c:pt>
                <c:pt idx="25">
                  <c:v>0.87735849056603776</c:v>
                </c:pt>
                <c:pt idx="26">
                  <c:v>0.88461538461538458</c:v>
                </c:pt>
                <c:pt idx="27">
                  <c:v>0.88461538461538458</c:v>
                </c:pt>
                <c:pt idx="28">
                  <c:v>0.87619047619047619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ser>
          <c:idx val="10"/>
          <c:order val="10"/>
          <c:tx>
            <c:strRef>
              <c:f>'Sys-Pass_lr'!$A$11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'Sys-Pass_lr'!$B$11:$AD$11</c:f>
              <c:numCache>
                <c:formatCode>General</c:formatCode>
                <c:ptCount val="29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0.8910891089108911</c:v>
                </c:pt>
                <c:pt idx="5">
                  <c:v>0.9</c:v>
                </c:pt>
                <c:pt idx="6">
                  <c:v>0.89552238805970152</c:v>
                </c:pt>
                <c:pt idx="7">
                  <c:v>0.8910891089108911</c:v>
                </c:pt>
                <c:pt idx="8">
                  <c:v>0.87081339712918659</c:v>
                </c:pt>
                <c:pt idx="9">
                  <c:v>0.875</c:v>
                </c:pt>
                <c:pt idx="10">
                  <c:v>0.87081339712918659</c:v>
                </c:pt>
                <c:pt idx="11">
                  <c:v>0.875</c:v>
                </c:pt>
                <c:pt idx="12">
                  <c:v>0.8921568627450982</c:v>
                </c:pt>
                <c:pt idx="13">
                  <c:v>0.89756097560975612</c:v>
                </c:pt>
                <c:pt idx="14">
                  <c:v>0.90821256038647336</c:v>
                </c:pt>
                <c:pt idx="15">
                  <c:v>0.90291262135922334</c:v>
                </c:pt>
                <c:pt idx="16">
                  <c:v>0.90196078431372551</c:v>
                </c:pt>
                <c:pt idx="17">
                  <c:v>0.89756097560975612</c:v>
                </c:pt>
                <c:pt idx="18">
                  <c:v>0.91</c:v>
                </c:pt>
                <c:pt idx="19">
                  <c:v>0.91999999999999993</c:v>
                </c:pt>
                <c:pt idx="20">
                  <c:v>0.92537313432835822</c:v>
                </c:pt>
                <c:pt idx="21">
                  <c:v>0.92537313432835822</c:v>
                </c:pt>
                <c:pt idx="22">
                  <c:v>0.92537313432835822</c:v>
                </c:pt>
                <c:pt idx="23">
                  <c:v>0.93</c:v>
                </c:pt>
                <c:pt idx="24">
                  <c:v>0.93</c:v>
                </c:pt>
                <c:pt idx="25">
                  <c:v>0.93</c:v>
                </c:pt>
                <c:pt idx="26">
                  <c:v>0.92929292929292928</c:v>
                </c:pt>
                <c:pt idx="27">
                  <c:v>0.92929292929292928</c:v>
                </c:pt>
                <c:pt idx="28">
                  <c:v>0.92462311557788956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77D9-4A1C-88F1-5D85263F2624}"/>
            </c:ext>
          </c:extLst>
        </c:ser>
        <c:ser>
          <c:idx val="11"/>
          <c:order val="11"/>
          <c:tx>
            <c:strRef>
              <c:f>'Sys-Pass_lr'!$A$12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'Sys-Pass_lr'!$B$12:$AD$12</c:f>
              <c:numCache>
                <c:formatCode>General</c:formatCode>
                <c:ptCount val="29"/>
                <c:pt idx="0">
                  <c:v>0.84905660377358494</c:v>
                </c:pt>
                <c:pt idx="1">
                  <c:v>0.84905660377358494</c:v>
                </c:pt>
                <c:pt idx="2">
                  <c:v>0.84905660377358494</c:v>
                </c:pt>
                <c:pt idx="3">
                  <c:v>0.84905660377358494</c:v>
                </c:pt>
                <c:pt idx="4">
                  <c:v>0.83018867924528306</c:v>
                </c:pt>
                <c:pt idx="5">
                  <c:v>0.84905660377358494</c:v>
                </c:pt>
                <c:pt idx="6">
                  <c:v>0.839622641509434</c:v>
                </c:pt>
                <c:pt idx="7">
                  <c:v>0.83018867924528306</c:v>
                </c:pt>
                <c:pt idx="8">
                  <c:v>0.77358490566037741</c:v>
                </c:pt>
                <c:pt idx="9">
                  <c:v>0.78301886792452835</c:v>
                </c:pt>
                <c:pt idx="10">
                  <c:v>0.77358490566037741</c:v>
                </c:pt>
                <c:pt idx="11">
                  <c:v>0.78301886792452835</c:v>
                </c:pt>
                <c:pt idx="12">
                  <c:v>0.82075471698113212</c:v>
                </c:pt>
                <c:pt idx="13">
                  <c:v>0.82075471698113212</c:v>
                </c:pt>
                <c:pt idx="14">
                  <c:v>0.82075471698113212</c:v>
                </c:pt>
                <c:pt idx="15">
                  <c:v>0.82075471698113212</c:v>
                </c:pt>
                <c:pt idx="16">
                  <c:v>0.83018867924528306</c:v>
                </c:pt>
                <c:pt idx="17">
                  <c:v>0.82075471698113212</c:v>
                </c:pt>
                <c:pt idx="18">
                  <c:v>0.85849056603773588</c:v>
                </c:pt>
                <c:pt idx="19">
                  <c:v>0.86792452830188682</c:v>
                </c:pt>
                <c:pt idx="20">
                  <c:v>0.86792452830188682</c:v>
                </c:pt>
                <c:pt idx="21">
                  <c:v>0.86792452830188682</c:v>
                </c:pt>
                <c:pt idx="22">
                  <c:v>0.86792452830188682</c:v>
                </c:pt>
                <c:pt idx="23">
                  <c:v>0.87735849056603776</c:v>
                </c:pt>
                <c:pt idx="24">
                  <c:v>0.87735849056603776</c:v>
                </c:pt>
                <c:pt idx="25">
                  <c:v>0.87735849056603776</c:v>
                </c:pt>
                <c:pt idx="26">
                  <c:v>0.8867924528301887</c:v>
                </c:pt>
                <c:pt idx="27">
                  <c:v>0.8867924528301887</c:v>
                </c:pt>
                <c:pt idx="28">
                  <c:v>0.87735849056603776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'Sys-Pass_lr'!$A$1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'Sys-Pass_lr'!$B$1:$AD$1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90</c:v>
                      </c:pt>
                      <c:pt idx="1">
                        <c:v>90</c:v>
                      </c:pt>
                      <c:pt idx="2">
                        <c:v>90</c:v>
                      </c:pt>
                      <c:pt idx="3">
                        <c:v>90</c:v>
                      </c:pt>
                      <c:pt idx="4">
                        <c:v>90</c:v>
                      </c:pt>
                      <c:pt idx="5">
                        <c:v>90</c:v>
                      </c:pt>
                      <c:pt idx="6">
                        <c:v>90</c:v>
                      </c:pt>
                      <c:pt idx="7">
                        <c:v>90</c:v>
                      </c:pt>
                      <c:pt idx="8">
                        <c:v>91</c:v>
                      </c:pt>
                      <c:pt idx="9">
                        <c:v>91</c:v>
                      </c:pt>
                      <c:pt idx="10">
                        <c:v>91</c:v>
                      </c:pt>
                      <c:pt idx="11">
                        <c:v>91</c:v>
                      </c:pt>
                      <c:pt idx="12">
                        <c:v>91</c:v>
                      </c:pt>
                      <c:pt idx="13">
                        <c:v>92</c:v>
                      </c:pt>
                      <c:pt idx="14">
                        <c:v>94</c:v>
                      </c:pt>
                      <c:pt idx="15">
                        <c:v>93</c:v>
                      </c:pt>
                      <c:pt idx="16">
                        <c:v>92</c:v>
                      </c:pt>
                      <c:pt idx="17">
                        <c:v>92</c:v>
                      </c:pt>
                      <c:pt idx="18">
                        <c:v>91</c:v>
                      </c:pt>
                      <c:pt idx="19">
                        <c:v>92</c:v>
                      </c:pt>
                      <c:pt idx="20">
                        <c:v>93</c:v>
                      </c:pt>
                      <c:pt idx="21">
                        <c:v>93</c:v>
                      </c:pt>
                      <c:pt idx="22">
                        <c:v>93</c:v>
                      </c:pt>
                      <c:pt idx="23">
                        <c:v>93</c:v>
                      </c:pt>
                      <c:pt idx="24">
                        <c:v>93</c:v>
                      </c:pt>
                      <c:pt idx="25">
                        <c:v>93</c:v>
                      </c:pt>
                      <c:pt idx="26">
                        <c:v>92</c:v>
                      </c:pt>
                      <c:pt idx="27">
                        <c:v>92</c:v>
                      </c:pt>
                      <c:pt idx="28">
                        <c:v>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2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3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16</c:v>
                      </c:pt>
                      <c:pt idx="2">
                        <c:v>16</c:v>
                      </c:pt>
                      <c:pt idx="3">
                        <c:v>16</c:v>
                      </c:pt>
                      <c:pt idx="4">
                        <c:v>18</c:v>
                      </c:pt>
                      <c:pt idx="5">
                        <c:v>16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23</c:v>
                      </c:pt>
                      <c:pt idx="12">
                        <c:v>19</c:v>
                      </c:pt>
                      <c:pt idx="13">
                        <c:v>19</c:v>
                      </c:pt>
                      <c:pt idx="14">
                        <c:v>19</c:v>
                      </c:pt>
                      <c:pt idx="15">
                        <c:v>19</c:v>
                      </c:pt>
                      <c:pt idx="16">
                        <c:v>18</c:v>
                      </c:pt>
                      <c:pt idx="17">
                        <c:v>19</c:v>
                      </c:pt>
                      <c:pt idx="18">
                        <c:v>15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14</c:v>
                      </c:pt>
                      <c:pt idx="22">
                        <c:v>14</c:v>
                      </c:pt>
                      <c:pt idx="23">
                        <c:v>13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12</c:v>
                      </c:pt>
                      <c:pt idx="27">
                        <c:v>12</c:v>
                      </c:pt>
                      <c:pt idx="28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90</c:v>
                      </c:pt>
                      <c:pt idx="1">
                        <c:v>90</c:v>
                      </c:pt>
                      <c:pt idx="2">
                        <c:v>90</c:v>
                      </c:pt>
                      <c:pt idx="3">
                        <c:v>90</c:v>
                      </c:pt>
                      <c:pt idx="4">
                        <c:v>88</c:v>
                      </c:pt>
                      <c:pt idx="5">
                        <c:v>90</c:v>
                      </c:pt>
                      <c:pt idx="6">
                        <c:v>89</c:v>
                      </c:pt>
                      <c:pt idx="7">
                        <c:v>88</c:v>
                      </c:pt>
                      <c:pt idx="8">
                        <c:v>82</c:v>
                      </c:pt>
                      <c:pt idx="9">
                        <c:v>83</c:v>
                      </c:pt>
                      <c:pt idx="10">
                        <c:v>82</c:v>
                      </c:pt>
                      <c:pt idx="11">
                        <c:v>83</c:v>
                      </c:pt>
                      <c:pt idx="12">
                        <c:v>87</c:v>
                      </c:pt>
                      <c:pt idx="13">
                        <c:v>87</c:v>
                      </c:pt>
                      <c:pt idx="14">
                        <c:v>87</c:v>
                      </c:pt>
                      <c:pt idx="15">
                        <c:v>87</c:v>
                      </c:pt>
                      <c:pt idx="16">
                        <c:v>88</c:v>
                      </c:pt>
                      <c:pt idx="17">
                        <c:v>87</c:v>
                      </c:pt>
                      <c:pt idx="18">
                        <c:v>91</c:v>
                      </c:pt>
                      <c:pt idx="19">
                        <c:v>92</c:v>
                      </c:pt>
                      <c:pt idx="20">
                        <c:v>92</c:v>
                      </c:pt>
                      <c:pt idx="21">
                        <c:v>92</c:v>
                      </c:pt>
                      <c:pt idx="22">
                        <c:v>92</c:v>
                      </c:pt>
                      <c:pt idx="23">
                        <c:v>93</c:v>
                      </c:pt>
                      <c:pt idx="24">
                        <c:v>93</c:v>
                      </c:pt>
                      <c:pt idx="25">
                        <c:v>93</c:v>
                      </c:pt>
                      <c:pt idx="26">
                        <c:v>94</c:v>
                      </c:pt>
                      <c:pt idx="27">
                        <c:v>94</c:v>
                      </c:pt>
                      <c:pt idx="28">
                        <c:v>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9.9999999999999978E-2</c:v>
                      </c:pt>
                      <c:pt idx="1">
                        <c:v>9.9999999999999978E-2</c:v>
                      </c:pt>
                      <c:pt idx="2">
                        <c:v>9.9999999999999978E-2</c:v>
                      </c:pt>
                      <c:pt idx="3">
                        <c:v>9.9999999999999978E-2</c:v>
                      </c:pt>
                      <c:pt idx="4">
                        <c:v>0.10999999999999999</c:v>
                      </c:pt>
                      <c:pt idx="5">
                        <c:v>9.9999999999999978E-2</c:v>
                      </c:pt>
                      <c:pt idx="6">
                        <c:v>0.10499999999999998</c:v>
                      </c:pt>
                      <c:pt idx="7">
                        <c:v>0.10999999999999999</c:v>
                      </c:pt>
                      <c:pt idx="8">
                        <c:v>0.13500000000000001</c:v>
                      </c:pt>
                      <c:pt idx="9">
                        <c:v>0.13</c:v>
                      </c:pt>
                      <c:pt idx="10">
                        <c:v>0.13500000000000001</c:v>
                      </c:pt>
                      <c:pt idx="11">
                        <c:v>0.13</c:v>
                      </c:pt>
                      <c:pt idx="12">
                        <c:v>0.10999999999999999</c:v>
                      </c:pt>
                      <c:pt idx="13">
                        <c:v>0.10499999999999998</c:v>
                      </c:pt>
                      <c:pt idx="14">
                        <c:v>9.4999999999999973E-2</c:v>
                      </c:pt>
                      <c:pt idx="15">
                        <c:v>9.9999999999999978E-2</c:v>
                      </c:pt>
                      <c:pt idx="16">
                        <c:v>9.9999999999999978E-2</c:v>
                      </c:pt>
                      <c:pt idx="17">
                        <c:v>0.10499999999999998</c:v>
                      </c:pt>
                      <c:pt idx="18">
                        <c:v>8.9999999999999969E-2</c:v>
                      </c:pt>
                      <c:pt idx="19">
                        <c:v>7.999999999999996E-2</c:v>
                      </c:pt>
                      <c:pt idx="20">
                        <c:v>7.4999999999999956E-2</c:v>
                      </c:pt>
                      <c:pt idx="21">
                        <c:v>7.4999999999999956E-2</c:v>
                      </c:pt>
                      <c:pt idx="22">
                        <c:v>7.4999999999999956E-2</c:v>
                      </c:pt>
                      <c:pt idx="23">
                        <c:v>6.9999999999999951E-2</c:v>
                      </c:pt>
                      <c:pt idx="24">
                        <c:v>6.9999999999999951E-2</c:v>
                      </c:pt>
                      <c:pt idx="25">
                        <c:v>6.9999999999999951E-2</c:v>
                      </c:pt>
                      <c:pt idx="26">
                        <c:v>6.9999999999999951E-2</c:v>
                      </c:pt>
                      <c:pt idx="27">
                        <c:v>6.9999999999999951E-2</c:v>
                      </c:pt>
                      <c:pt idx="28">
                        <c:v>7.4999999999999956E-2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'Sys-Pass_lr'!$A$13</c15:sqref>
                        </c15:formulaRef>
                      </c:ext>
                    </c:extLst>
                    <c:strCache>
                      <c:ptCount val="1"/>
                      <c:pt idx="0">
                        <c:v>Limite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'Sys-Pass_lr'!$B$13:$AD$13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0.9</c:v>
                      </c:pt>
                      <c:pt idx="1">
                        <c:v>0.9</c:v>
                      </c:pt>
                      <c:pt idx="2">
                        <c:v>0.9</c:v>
                      </c:pt>
                      <c:pt idx="3">
                        <c:v>0.9</c:v>
                      </c:pt>
                      <c:pt idx="4">
                        <c:v>0.9</c:v>
                      </c:pt>
                      <c:pt idx="5">
                        <c:v>0.9</c:v>
                      </c:pt>
                      <c:pt idx="6">
                        <c:v>0.9</c:v>
                      </c:pt>
                      <c:pt idx="7">
                        <c:v>0.9</c:v>
                      </c:pt>
                      <c:pt idx="8">
                        <c:v>0.9</c:v>
                      </c:pt>
                      <c:pt idx="9">
                        <c:v>0.9</c:v>
                      </c:pt>
                      <c:pt idx="10">
                        <c:v>0.9</c:v>
                      </c:pt>
                      <c:pt idx="11">
                        <c:v>0.9</c:v>
                      </c:pt>
                      <c:pt idx="12">
                        <c:v>0.9</c:v>
                      </c:pt>
                      <c:pt idx="13">
                        <c:v>0.9</c:v>
                      </c:pt>
                      <c:pt idx="14">
                        <c:v>0.9</c:v>
                      </c:pt>
                      <c:pt idx="15">
                        <c:v>0.9</c:v>
                      </c:pt>
                      <c:pt idx="16">
                        <c:v>0.9</c:v>
                      </c:pt>
                      <c:pt idx="17">
                        <c:v>0.9</c:v>
                      </c:pt>
                      <c:pt idx="18">
                        <c:v>0.9</c:v>
                      </c:pt>
                      <c:pt idx="19">
                        <c:v>0.9</c:v>
                      </c:pt>
                      <c:pt idx="20">
                        <c:v>0.9</c:v>
                      </c:pt>
                      <c:pt idx="21">
                        <c:v>0.9</c:v>
                      </c:pt>
                      <c:pt idx="22">
                        <c:v>0.9</c:v>
                      </c:pt>
                      <c:pt idx="23">
                        <c:v>0.9</c:v>
                      </c:pt>
                      <c:pt idx="24">
                        <c:v>0.9</c:v>
                      </c:pt>
                      <c:pt idx="25">
                        <c:v>0.9</c:v>
                      </c:pt>
                      <c:pt idx="26">
                        <c:v>0.9</c:v>
                      </c:pt>
                      <c:pt idx="27">
                        <c:v>0.9</c:v>
                      </c:pt>
                      <c:pt idx="28">
                        <c:v>0.9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'Sys-Fail_lr'!$A$7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'Sys-Fail_lr'!$B$7:$AD$7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0.82</c:v>
                </c:pt>
                <c:pt idx="5">
                  <c:v>0.81</c:v>
                </c:pt>
                <c:pt idx="6">
                  <c:v>0.81</c:v>
                </c:pt>
                <c:pt idx="7">
                  <c:v>0.8</c:v>
                </c:pt>
                <c:pt idx="8">
                  <c:v>0.81499999999999995</c:v>
                </c:pt>
                <c:pt idx="9">
                  <c:v>0.81499999999999995</c:v>
                </c:pt>
                <c:pt idx="10">
                  <c:v>0.82</c:v>
                </c:pt>
                <c:pt idx="11">
                  <c:v>0.80500000000000005</c:v>
                </c:pt>
                <c:pt idx="12">
                  <c:v>0.79</c:v>
                </c:pt>
                <c:pt idx="13">
                  <c:v>0.82</c:v>
                </c:pt>
                <c:pt idx="14">
                  <c:v>0.82</c:v>
                </c:pt>
                <c:pt idx="15">
                  <c:v>0.83</c:v>
                </c:pt>
                <c:pt idx="16">
                  <c:v>0.82</c:v>
                </c:pt>
                <c:pt idx="17">
                  <c:v>0.83</c:v>
                </c:pt>
                <c:pt idx="18">
                  <c:v>0.83</c:v>
                </c:pt>
                <c:pt idx="19">
                  <c:v>0.81</c:v>
                </c:pt>
                <c:pt idx="20">
                  <c:v>0.82</c:v>
                </c:pt>
                <c:pt idx="21">
                  <c:v>0.81</c:v>
                </c:pt>
                <c:pt idx="22">
                  <c:v>0.82499999999999996</c:v>
                </c:pt>
                <c:pt idx="23">
                  <c:v>0.81499999999999995</c:v>
                </c:pt>
                <c:pt idx="24">
                  <c:v>0.81499999999999995</c:v>
                </c:pt>
                <c:pt idx="25">
                  <c:v>0.82499999999999996</c:v>
                </c:pt>
                <c:pt idx="26">
                  <c:v>0.81499999999999995</c:v>
                </c:pt>
                <c:pt idx="27">
                  <c:v>0.81499999999999995</c:v>
                </c:pt>
                <c:pt idx="28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'Sys-Fail_lr'!$A$9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'Sys-Fail_lr'!$B$9:$AD$9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2.9411764705882353E-2</c:v>
                </c:pt>
                <c:pt idx="5">
                  <c:v>8.8235294117647065E-2</c:v>
                </c:pt>
                <c:pt idx="6">
                  <c:v>8.8235294117647065E-2</c:v>
                </c:pt>
                <c:pt idx="7">
                  <c:v>0.11764705882352941</c:v>
                </c:pt>
                <c:pt idx="8">
                  <c:v>0.11764705882352941</c:v>
                </c:pt>
                <c:pt idx="9">
                  <c:v>0.14705882352941177</c:v>
                </c:pt>
                <c:pt idx="10">
                  <c:v>0.11764705882352941</c:v>
                </c:pt>
                <c:pt idx="11">
                  <c:v>0.11764705882352941</c:v>
                </c:pt>
                <c:pt idx="12">
                  <c:v>0.17647058823529413</c:v>
                </c:pt>
                <c:pt idx="13">
                  <c:v>0.17647058823529413</c:v>
                </c:pt>
                <c:pt idx="14">
                  <c:v>0.11764705882352941</c:v>
                </c:pt>
                <c:pt idx="15">
                  <c:v>0.14705882352941177</c:v>
                </c:pt>
                <c:pt idx="16">
                  <c:v>0.11764705882352941</c:v>
                </c:pt>
                <c:pt idx="17">
                  <c:v>0.14705882352941177</c:v>
                </c:pt>
                <c:pt idx="18">
                  <c:v>0.14705882352941177</c:v>
                </c:pt>
                <c:pt idx="19">
                  <c:v>0.17647058823529413</c:v>
                </c:pt>
                <c:pt idx="20">
                  <c:v>0.14705882352941177</c:v>
                </c:pt>
                <c:pt idx="21">
                  <c:v>0.11764705882352941</c:v>
                </c:pt>
                <c:pt idx="22">
                  <c:v>8.8235294117647065E-2</c:v>
                </c:pt>
                <c:pt idx="23">
                  <c:v>0.14705882352941177</c:v>
                </c:pt>
                <c:pt idx="24">
                  <c:v>0.14705882352941177</c:v>
                </c:pt>
                <c:pt idx="25">
                  <c:v>8.8235294117647065E-2</c:v>
                </c:pt>
                <c:pt idx="26">
                  <c:v>0.14705882352941177</c:v>
                </c:pt>
                <c:pt idx="27">
                  <c:v>8.8235294117647065E-2</c:v>
                </c:pt>
                <c:pt idx="28">
                  <c:v>0.14705882352941177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'Sys-Fail_lr'!$A$10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'Sys-Fail_lr'!$B$10:$AD$10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0.25</c:v>
                </c:pt>
                <c:pt idx="5">
                  <c:v>0.3</c:v>
                </c:pt>
                <c:pt idx="6">
                  <c:v>0.3</c:v>
                </c:pt>
                <c:pt idx="7">
                  <c:v>0.2857142857142857</c:v>
                </c:pt>
                <c:pt idx="8">
                  <c:v>0.36363636363636365</c:v>
                </c:pt>
                <c:pt idx="9">
                  <c:v>0.38461538461538464</c:v>
                </c:pt>
                <c:pt idx="10">
                  <c:v>0.4</c:v>
                </c:pt>
                <c:pt idx="11">
                  <c:v>0.30769230769230771</c:v>
                </c:pt>
                <c:pt idx="12">
                  <c:v>0.3</c:v>
                </c:pt>
                <c:pt idx="13">
                  <c:v>0.42857142857142855</c:v>
                </c:pt>
                <c:pt idx="14">
                  <c:v>0.4</c:v>
                </c:pt>
                <c:pt idx="15">
                  <c:v>0.5</c:v>
                </c:pt>
                <c:pt idx="16">
                  <c:v>0.4</c:v>
                </c:pt>
                <c:pt idx="17">
                  <c:v>0.5</c:v>
                </c:pt>
                <c:pt idx="18">
                  <c:v>0.5</c:v>
                </c:pt>
                <c:pt idx="19">
                  <c:v>0.375</c:v>
                </c:pt>
                <c:pt idx="20">
                  <c:v>0.41666666666666669</c:v>
                </c:pt>
                <c:pt idx="21">
                  <c:v>0.33333333333333331</c:v>
                </c:pt>
                <c:pt idx="22">
                  <c:v>0.42857142857142855</c:v>
                </c:pt>
                <c:pt idx="23">
                  <c:v>0.38461538461538464</c:v>
                </c:pt>
                <c:pt idx="24">
                  <c:v>0.38461538461538464</c:v>
                </c:pt>
                <c:pt idx="25">
                  <c:v>0.42857142857142855</c:v>
                </c:pt>
                <c:pt idx="26">
                  <c:v>0.38461538461538464</c:v>
                </c:pt>
                <c:pt idx="27">
                  <c:v>0.33333333333333331</c:v>
                </c:pt>
                <c:pt idx="28">
                  <c:v>0.27777777777777779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ser>
          <c:idx val="10"/>
          <c:order val="10"/>
          <c:tx>
            <c:strRef>
              <c:f>'Sys-Fail_lr'!$A$11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'Sys-Fail_lr'!$B$11:$AD$11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5.2631578947368418E-2</c:v>
                </c:pt>
                <c:pt idx="5">
                  <c:v>0.13636363636363635</c:v>
                </c:pt>
                <c:pt idx="6">
                  <c:v>0.13636363636363635</c:v>
                </c:pt>
                <c:pt idx="7">
                  <c:v>0.16666666666666666</c:v>
                </c:pt>
                <c:pt idx="8">
                  <c:v>0.17777777777777776</c:v>
                </c:pt>
                <c:pt idx="9">
                  <c:v>0.21276595744680854</c:v>
                </c:pt>
                <c:pt idx="10">
                  <c:v>0.1818181818181818</c:v>
                </c:pt>
                <c:pt idx="11">
                  <c:v>0.1702127659574468</c:v>
                </c:pt>
                <c:pt idx="12">
                  <c:v>0.22222222222222224</c:v>
                </c:pt>
                <c:pt idx="13">
                  <c:v>0.25</c:v>
                </c:pt>
                <c:pt idx="14">
                  <c:v>0.1818181818181818</c:v>
                </c:pt>
                <c:pt idx="15">
                  <c:v>0.22727272727272727</c:v>
                </c:pt>
                <c:pt idx="16">
                  <c:v>0.1818181818181818</c:v>
                </c:pt>
                <c:pt idx="17">
                  <c:v>0.22727272727272727</c:v>
                </c:pt>
                <c:pt idx="18">
                  <c:v>0.22727272727272727</c:v>
                </c:pt>
                <c:pt idx="19">
                  <c:v>0.24</c:v>
                </c:pt>
                <c:pt idx="20">
                  <c:v>0.21739130434782611</c:v>
                </c:pt>
                <c:pt idx="21">
                  <c:v>0.17391304347826089</c:v>
                </c:pt>
                <c:pt idx="22">
                  <c:v>0.14634146341463417</c:v>
                </c:pt>
                <c:pt idx="23">
                  <c:v>0.21276595744680854</c:v>
                </c:pt>
                <c:pt idx="24">
                  <c:v>0.21276595744680854</c:v>
                </c:pt>
                <c:pt idx="25">
                  <c:v>0.14634146341463417</c:v>
                </c:pt>
                <c:pt idx="26">
                  <c:v>0.21276595744680854</c:v>
                </c:pt>
                <c:pt idx="27">
                  <c:v>0.13953488372093023</c:v>
                </c:pt>
                <c:pt idx="28">
                  <c:v>0.19230769230769229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CE2-433F-8480-6EF6029FDEC5}"/>
            </c:ext>
          </c:extLst>
        </c:ser>
        <c:ser>
          <c:idx val="11"/>
          <c:order val="11"/>
          <c:tx>
            <c:strRef>
              <c:f>'Sys-Fail_lr'!$A$12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'Sys-Fail_lr'!$B$12:$AD$12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0.98192771084337349</c:v>
                </c:pt>
                <c:pt idx="5">
                  <c:v>0.95783132530120485</c:v>
                </c:pt>
                <c:pt idx="6">
                  <c:v>0.95783132530120485</c:v>
                </c:pt>
                <c:pt idx="7">
                  <c:v>0.93975903614457834</c:v>
                </c:pt>
                <c:pt idx="8">
                  <c:v>0.95783132530120485</c:v>
                </c:pt>
                <c:pt idx="9">
                  <c:v>0.95180722891566261</c:v>
                </c:pt>
                <c:pt idx="10">
                  <c:v>0.96385542168674698</c:v>
                </c:pt>
                <c:pt idx="11">
                  <c:v>0.94578313253012047</c:v>
                </c:pt>
                <c:pt idx="12">
                  <c:v>0.91566265060240959</c:v>
                </c:pt>
                <c:pt idx="13">
                  <c:v>0.95180722891566261</c:v>
                </c:pt>
                <c:pt idx="14">
                  <c:v>0.96385542168674698</c:v>
                </c:pt>
                <c:pt idx="15">
                  <c:v>0.96987951807228912</c:v>
                </c:pt>
                <c:pt idx="16">
                  <c:v>0.96385542168674698</c:v>
                </c:pt>
                <c:pt idx="17">
                  <c:v>0.96987951807228912</c:v>
                </c:pt>
                <c:pt idx="18">
                  <c:v>0.96987951807228912</c:v>
                </c:pt>
                <c:pt idx="19">
                  <c:v>0.93975903614457834</c:v>
                </c:pt>
                <c:pt idx="20">
                  <c:v>0.95783132530120485</c:v>
                </c:pt>
                <c:pt idx="21">
                  <c:v>0.95180722891566261</c:v>
                </c:pt>
                <c:pt idx="22">
                  <c:v>0.97590361445783136</c:v>
                </c:pt>
                <c:pt idx="23">
                  <c:v>0.95180722891566261</c:v>
                </c:pt>
                <c:pt idx="24">
                  <c:v>0.95180722891566261</c:v>
                </c:pt>
                <c:pt idx="25">
                  <c:v>0.97590361445783136</c:v>
                </c:pt>
                <c:pt idx="26">
                  <c:v>0.95180722891566261</c:v>
                </c:pt>
                <c:pt idx="27">
                  <c:v>0.96385542168674698</c:v>
                </c:pt>
                <c:pt idx="28">
                  <c:v>0.92168674698795183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'Sys-Fail_lr'!$A$1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'Sys-Fail_lr'!$B$1:$AD$1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5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4</c:v>
                      </c:pt>
                      <c:pt idx="15">
                        <c:v>5</c:v>
                      </c:pt>
                      <c:pt idx="16">
                        <c:v>4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6</c:v>
                      </c:pt>
                      <c:pt idx="20">
                        <c:v>5</c:v>
                      </c:pt>
                      <c:pt idx="21">
                        <c:v>4</c:v>
                      </c:pt>
                      <c:pt idx="22">
                        <c:v>3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3</c:v>
                      </c:pt>
                      <c:pt idx="26">
                        <c:v>5</c:v>
                      </c:pt>
                      <c:pt idx="27">
                        <c:v>3</c:v>
                      </c:pt>
                      <c:pt idx="28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34</c:v>
                      </c:pt>
                      <c:pt idx="4">
                        <c:v>33</c:v>
                      </c:pt>
                      <c:pt idx="5">
                        <c:v>31</c:v>
                      </c:pt>
                      <c:pt idx="6">
                        <c:v>31</c:v>
                      </c:pt>
                      <c:pt idx="7">
                        <c:v>30</c:v>
                      </c:pt>
                      <c:pt idx="8">
                        <c:v>30</c:v>
                      </c:pt>
                      <c:pt idx="9">
                        <c:v>29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28</c:v>
                      </c:pt>
                      <c:pt idx="13">
                        <c:v>28</c:v>
                      </c:pt>
                      <c:pt idx="14">
                        <c:v>30</c:v>
                      </c:pt>
                      <c:pt idx="15">
                        <c:v>29</c:v>
                      </c:pt>
                      <c:pt idx="16">
                        <c:v>30</c:v>
                      </c:pt>
                      <c:pt idx="17">
                        <c:v>29</c:v>
                      </c:pt>
                      <c:pt idx="18">
                        <c:v>29</c:v>
                      </c:pt>
                      <c:pt idx="19">
                        <c:v>28</c:v>
                      </c:pt>
                      <c:pt idx="20">
                        <c:v>29</c:v>
                      </c:pt>
                      <c:pt idx="21">
                        <c:v>30</c:v>
                      </c:pt>
                      <c:pt idx="22">
                        <c:v>31</c:v>
                      </c:pt>
                      <c:pt idx="23">
                        <c:v>29</c:v>
                      </c:pt>
                      <c:pt idx="24">
                        <c:v>29</c:v>
                      </c:pt>
                      <c:pt idx="25">
                        <c:v>31</c:v>
                      </c:pt>
                      <c:pt idx="26">
                        <c:v>29</c:v>
                      </c:pt>
                      <c:pt idx="27">
                        <c:v>31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</c:v>
                      </c:pt>
                      <c:pt idx="5">
                        <c:v>7</c:v>
                      </c:pt>
                      <c:pt idx="6">
                        <c:v>7</c:v>
                      </c:pt>
                      <c:pt idx="7">
                        <c:v>10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6</c:v>
                      </c:pt>
                      <c:pt idx="11">
                        <c:v>9</c:v>
                      </c:pt>
                      <c:pt idx="12">
                        <c:v>14</c:v>
                      </c:pt>
                      <c:pt idx="13">
                        <c:v>8</c:v>
                      </c:pt>
                      <c:pt idx="14">
                        <c:v>6</c:v>
                      </c:pt>
                      <c:pt idx="15">
                        <c:v>5</c:v>
                      </c:pt>
                      <c:pt idx="16">
                        <c:v>6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10</c:v>
                      </c:pt>
                      <c:pt idx="20">
                        <c:v>7</c:v>
                      </c:pt>
                      <c:pt idx="21">
                        <c:v>8</c:v>
                      </c:pt>
                      <c:pt idx="22">
                        <c:v>4</c:v>
                      </c:pt>
                      <c:pt idx="23">
                        <c:v>8</c:v>
                      </c:pt>
                      <c:pt idx="24">
                        <c:v>8</c:v>
                      </c:pt>
                      <c:pt idx="25">
                        <c:v>4</c:v>
                      </c:pt>
                      <c:pt idx="26">
                        <c:v>8</c:v>
                      </c:pt>
                      <c:pt idx="27">
                        <c:v>6</c:v>
                      </c:pt>
                      <c:pt idx="28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166</c:v>
                      </c:pt>
                      <c:pt idx="4">
                        <c:v>163</c:v>
                      </c:pt>
                      <c:pt idx="5">
                        <c:v>159</c:v>
                      </c:pt>
                      <c:pt idx="6">
                        <c:v>159</c:v>
                      </c:pt>
                      <c:pt idx="7">
                        <c:v>156</c:v>
                      </c:pt>
                      <c:pt idx="8">
                        <c:v>159</c:v>
                      </c:pt>
                      <c:pt idx="9">
                        <c:v>158</c:v>
                      </c:pt>
                      <c:pt idx="10">
                        <c:v>160</c:v>
                      </c:pt>
                      <c:pt idx="11">
                        <c:v>157</c:v>
                      </c:pt>
                      <c:pt idx="12">
                        <c:v>152</c:v>
                      </c:pt>
                      <c:pt idx="13">
                        <c:v>158</c:v>
                      </c:pt>
                      <c:pt idx="14">
                        <c:v>160</c:v>
                      </c:pt>
                      <c:pt idx="15">
                        <c:v>161</c:v>
                      </c:pt>
                      <c:pt idx="16">
                        <c:v>160</c:v>
                      </c:pt>
                      <c:pt idx="17">
                        <c:v>161</c:v>
                      </c:pt>
                      <c:pt idx="18">
                        <c:v>161</c:v>
                      </c:pt>
                      <c:pt idx="19">
                        <c:v>156</c:v>
                      </c:pt>
                      <c:pt idx="20">
                        <c:v>159</c:v>
                      </c:pt>
                      <c:pt idx="21">
                        <c:v>158</c:v>
                      </c:pt>
                      <c:pt idx="22">
                        <c:v>162</c:v>
                      </c:pt>
                      <c:pt idx="23">
                        <c:v>158</c:v>
                      </c:pt>
                      <c:pt idx="24">
                        <c:v>158</c:v>
                      </c:pt>
                      <c:pt idx="25">
                        <c:v>162</c:v>
                      </c:pt>
                      <c:pt idx="26">
                        <c:v>158</c:v>
                      </c:pt>
                      <c:pt idx="27">
                        <c:v>160</c:v>
                      </c:pt>
                      <c:pt idx="28">
                        <c:v>153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0.17000000000000004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0.17000000000000004</c:v>
                      </c:pt>
                      <c:pt idx="4">
                        <c:v>0.18000000000000005</c:v>
                      </c:pt>
                      <c:pt idx="5">
                        <c:v>0.18999999999999995</c:v>
                      </c:pt>
                      <c:pt idx="6">
                        <c:v>0.18999999999999995</c:v>
                      </c:pt>
                      <c:pt idx="7">
                        <c:v>0.19999999999999996</c:v>
                      </c:pt>
                      <c:pt idx="8">
                        <c:v>0.18500000000000005</c:v>
                      </c:pt>
                      <c:pt idx="9">
                        <c:v>0.18500000000000005</c:v>
                      </c:pt>
                      <c:pt idx="10">
                        <c:v>0.18000000000000005</c:v>
                      </c:pt>
                      <c:pt idx="11">
                        <c:v>0.19499999999999995</c:v>
                      </c:pt>
                      <c:pt idx="12">
                        <c:v>0.20999999999999996</c:v>
                      </c:pt>
                      <c:pt idx="13">
                        <c:v>0.18000000000000005</c:v>
                      </c:pt>
                      <c:pt idx="14">
                        <c:v>0.18000000000000005</c:v>
                      </c:pt>
                      <c:pt idx="15">
                        <c:v>0.17000000000000004</c:v>
                      </c:pt>
                      <c:pt idx="16">
                        <c:v>0.18000000000000005</c:v>
                      </c:pt>
                      <c:pt idx="17">
                        <c:v>0.17000000000000004</c:v>
                      </c:pt>
                      <c:pt idx="18">
                        <c:v>0.17000000000000004</c:v>
                      </c:pt>
                      <c:pt idx="19">
                        <c:v>0.18999999999999995</c:v>
                      </c:pt>
                      <c:pt idx="20">
                        <c:v>0.18000000000000005</c:v>
                      </c:pt>
                      <c:pt idx="21">
                        <c:v>0.18999999999999995</c:v>
                      </c:pt>
                      <c:pt idx="22">
                        <c:v>0.17500000000000004</c:v>
                      </c:pt>
                      <c:pt idx="23">
                        <c:v>0.18500000000000005</c:v>
                      </c:pt>
                      <c:pt idx="24">
                        <c:v>0.18500000000000005</c:v>
                      </c:pt>
                      <c:pt idx="25">
                        <c:v>0.17500000000000004</c:v>
                      </c:pt>
                      <c:pt idx="26">
                        <c:v>0.18500000000000005</c:v>
                      </c:pt>
                      <c:pt idx="27">
                        <c:v>0.18500000000000005</c:v>
                      </c:pt>
                      <c:pt idx="28">
                        <c:v>0.20999999999999996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'Sys-Dropout_lr'!$A$7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'Sys-Dropout_lr'!$B$7:$AD$7</c:f>
              <c:numCache>
                <c:formatCode>General</c:formatCode>
                <c:ptCount val="29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0.84</c:v>
                </c:pt>
                <c:pt idx="6">
                  <c:v>0.84499999999999997</c:v>
                </c:pt>
                <c:pt idx="7">
                  <c:v>0.84</c:v>
                </c:pt>
                <c:pt idx="8">
                  <c:v>0.87</c:v>
                </c:pt>
                <c:pt idx="9">
                  <c:v>0.86499999999999999</c:v>
                </c:pt>
                <c:pt idx="10">
                  <c:v>0.875</c:v>
                </c:pt>
                <c:pt idx="11">
                  <c:v>0.85499999999999998</c:v>
                </c:pt>
                <c:pt idx="12">
                  <c:v>0.85</c:v>
                </c:pt>
                <c:pt idx="13">
                  <c:v>0.88500000000000001</c:v>
                </c:pt>
                <c:pt idx="14">
                  <c:v>0.875</c:v>
                </c:pt>
                <c:pt idx="15">
                  <c:v>0.88</c:v>
                </c:pt>
                <c:pt idx="16">
                  <c:v>0.87</c:v>
                </c:pt>
                <c:pt idx="17">
                  <c:v>0.875</c:v>
                </c:pt>
                <c:pt idx="18">
                  <c:v>0.88</c:v>
                </c:pt>
                <c:pt idx="19">
                  <c:v>0.86</c:v>
                </c:pt>
                <c:pt idx="20">
                  <c:v>0.875</c:v>
                </c:pt>
                <c:pt idx="21">
                  <c:v>0.86499999999999999</c:v>
                </c:pt>
                <c:pt idx="22">
                  <c:v>0.88</c:v>
                </c:pt>
                <c:pt idx="23">
                  <c:v>0.86499999999999999</c:v>
                </c:pt>
                <c:pt idx="24">
                  <c:v>0.86499999999999999</c:v>
                </c:pt>
                <c:pt idx="25">
                  <c:v>0.875</c:v>
                </c:pt>
                <c:pt idx="26">
                  <c:v>0.86499999999999999</c:v>
                </c:pt>
                <c:pt idx="27">
                  <c:v>0.86499999999999999</c:v>
                </c:pt>
                <c:pt idx="28">
                  <c:v>0.84499999999999997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'Sys-Dropout_lr'!$A$9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'Sys-Dropout_lr'!$B$9:$AD$9</c:f>
              <c:numCache>
                <c:formatCode>General</c:formatCode>
                <c:ptCount val="29"/>
                <c:pt idx="0">
                  <c:v>0.94444444444444442</c:v>
                </c:pt>
                <c:pt idx="1">
                  <c:v>0.94444444444444442</c:v>
                </c:pt>
                <c:pt idx="2">
                  <c:v>0.94444444444444442</c:v>
                </c:pt>
                <c:pt idx="3">
                  <c:v>0.94444444444444442</c:v>
                </c:pt>
                <c:pt idx="4">
                  <c:v>0.90277777777777779</c:v>
                </c:pt>
                <c:pt idx="5">
                  <c:v>0.86111111111111116</c:v>
                </c:pt>
                <c:pt idx="6">
                  <c:v>0.86111111111111116</c:v>
                </c:pt>
                <c:pt idx="7">
                  <c:v>0.81944444444444442</c:v>
                </c:pt>
                <c:pt idx="8">
                  <c:v>0.83333333333333337</c:v>
                </c:pt>
                <c:pt idx="9">
                  <c:v>0.81944444444444442</c:v>
                </c:pt>
                <c:pt idx="10">
                  <c:v>0.84722222222222221</c:v>
                </c:pt>
                <c:pt idx="11">
                  <c:v>0.80555555555555558</c:v>
                </c:pt>
                <c:pt idx="12">
                  <c:v>0.77777777777777779</c:v>
                </c:pt>
                <c:pt idx="13">
                  <c:v>0.86111111111111116</c:v>
                </c:pt>
                <c:pt idx="14">
                  <c:v>0.86111111111111116</c:v>
                </c:pt>
                <c:pt idx="15">
                  <c:v>0.875</c:v>
                </c:pt>
                <c:pt idx="16">
                  <c:v>0.875</c:v>
                </c:pt>
                <c:pt idx="17">
                  <c:v>0.875</c:v>
                </c:pt>
                <c:pt idx="18">
                  <c:v>0.91666666666666663</c:v>
                </c:pt>
                <c:pt idx="19">
                  <c:v>0.84722222222222221</c:v>
                </c:pt>
                <c:pt idx="20">
                  <c:v>0.88888888888888884</c:v>
                </c:pt>
                <c:pt idx="21">
                  <c:v>0.875</c:v>
                </c:pt>
                <c:pt idx="22">
                  <c:v>0.93055555555555558</c:v>
                </c:pt>
                <c:pt idx="23">
                  <c:v>0.875</c:v>
                </c:pt>
                <c:pt idx="24">
                  <c:v>0.875</c:v>
                </c:pt>
                <c:pt idx="25">
                  <c:v>0.93055555555555558</c:v>
                </c:pt>
                <c:pt idx="26">
                  <c:v>0.88888888888888884</c:v>
                </c:pt>
                <c:pt idx="27">
                  <c:v>0.91666666666666663</c:v>
                </c:pt>
                <c:pt idx="28">
                  <c:v>0.81944444444444442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'Sys-Dropout_lr'!$A$10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'Sys-Dropout_lr'!$B$10:$AD$10</c:f>
              <c:numCache>
                <c:formatCode>General</c:formatCode>
                <c:ptCount val="29"/>
                <c:pt idx="0">
                  <c:v>0.72340425531914898</c:v>
                </c:pt>
                <c:pt idx="1">
                  <c:v>0.72340425531914898</c:v>
                </c:pt>
                <c:pt idx="2">
                  <c:v>0.72340425531914898</c:v>
                </c:pt>
                <c:pt idx="3">
                  <c:v>0.72340425531914898</c:v>
                </c:pt>
                <c:pt idx="4">
                  <c:v>0.73863636363636365</c:v>
                </c:pt>
                <c:pt idx="5">
                  <c:v>0.73809523809523814</c:v>
                </c:pt>
                <c:pt idx="6">
                  <c:v>0.74698795180722888</c:v>
                </c:pt>
                <c:pt idx="7">
                  <c:v>0.75641025641025639</c:v>
                </c:pt>
                <c:pt idx="8">
                  <c:v>0.81081081081081086</c:v>
                </c:pt>
                <c:pt idx="9">
                  <c:v>0.80821917808219179</c:v>
                </c:pt>
                <c:pt idx="10">
                  <c:v>0.81333333333333335</c:v>
                </c:pt>
                <c:pt idx="11">
                  <c:v>0.79452054794520544</c:v>
                </c:pt>
                <c:pt idx="12">
                  <c:v>0.8</c:v>
                </c:pt>
                <c:pt idx="13">
                  <c:v>0.82666666666666666</c:v>
                </c:pt>
                <c:pt idx="14">
                  <c:v>0.80519480519480524</c:v>
                </c:pt>
                <c:pt idx="15">
                  <c:v>0.80769230769230771</c:v>
                </c:pt>
                <c:pt idx="16">
                  <c:v>0.78749999999999998</c:v>
                </c:pt>
                <c:pt idx="17">
                  <c:v>0.79746835443037978</c:v>
                </c:pt>
                <c:pt idx="18">
                  <c:v>0.7857142857142857</c:v>
                </c:pt>
                <c:pt idx="19">
                  <c:v>0.78205128205128205</c:v>
                </c:pt>
                <c:pt idx="20">
                  <c:v>0.79012345679012341</c:v>
                </c:pt>
                <c:pt idx="21">
                  <c:v>0.77777777777777779</c:v>
                </c:pt>
                <c:pt idx="22">
                  <c:v>0.77906976744186052</c:v>
                </c:pt>
                <c:pt idx="23">
                  <c:v>0.77777777777777779</c:v>
                </c:pt>
                <c:pt idx="24">
                  <c:v>0.77777777777777779</c:v>
                </c:pt>
                <c:pt idx="25">
                  <c:v>0.77011494252873558</c:v>
                </c:pt>
                <c:pt idx="26">
                  <c:v>0.77108433734939763</c:v>
                </c:pt>
                <c:pt idx="27">
                  <c:v>0.75862068965517238</c:v>
                </c:pt>
                <c:pt idx="28">
                  <c:v>0.76623376623376627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ser>
          <c:idx val="10"/>
          <c:order val="10"/>
          <c:tx>
            <c:strRef>
              <c:f>'Sys-Dropout_lr'!$A$11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'Sys-Dropout_lr'!$B$11:$AD$11</c:f>
              <c:numCache>
                <c:formatCode>General</c:formatCode>
                <c:ptCount val="29"/>
                <c:pt idx="0">
                  <c:v>0.81927710843373491</c:v>
                </c:pt>
                <c:pt idx="1">
                  <c:v>0.81927710843373491</c:v>
                </c:pt>
                <c:pt idx="2">
                  <c:v>0.81927710843373491</c:v>
                </c:pt>
                <c:pt idx="3">
                  <c:v>0.81927710843373491</c:v>
                </c:pt>
                <c:pt idx="4">
                  <c:v>0.8125</c:v>
                </c:pt>
                <c:pt idx="5">
                  <c:v>0.79487179487179493</c:v>
                </c:pt>
                <c:pt idx="6">
                  <c:v>0.8</c:v>
                </c:pt>
                <c:pt idx="7">
                  <c:v>0.78666666666666663</c:v>
                </c:pt>
                <c:pt idx="8">
                  <c:v>0.82191780821917815</c:v>
                </c:pt>
                <c:pt idx="9">
                  <c:v>0.81379310344827593</c:v>
                </c:pt>
                <c:pt idx="10">
                  <c:v>0.82993197278911568</c:v>
                </c:pt>
                <c:pt idx="11">
                  <c:v>0.8</c:v>
                </c:pt>
                <c:pt idx="12">
                  <c:v>0.78873239436619713</c:v>
                </c:pt>
                <c:pt idx="13">
                  <c:v>0.84353741496598633</c:v>
                </c:pt>
                <c:pt idx="14">
                  <c:v>0.83221476510067116</c:v>
                </c:pt>
                <c:pt idx="15">
                  <c:v>0.84000000000000008</c:v>
                </c:pt>
                <c:pt idx="16">
                  <c:v>0.82894736842105265</c:v>
                </c:pt>
                <c:pt idx="17">
                  <c:v>0.83443708609271527</c:v>
                </c:pt>
                <c:pt idx="18">
                  <c:v>0.84615384615384615</c:v>
                </c:pt>
                <c:pt idx="19">
                  <c:v>0.81333333333333324</c:v>
                </c:pt>
                <c:pt idx="20">
                  <c:v>0.83660130718954251</c:v>
                </c:pt>
                <c:pt idx="21">
                  <c:v>0.82352941176470595</c:v>
                </c:pt>
                <c:pt idx="22">
                  <c:v>0.84810126582278478</c:v>
                </c:pt>
                <c:pt idx="23">
                  <c:v>0.82352941176470595</c:v>
                </c:pt>
                <c:pt idx="24">
                  <c:v>0.82352941176470595</c:v>
                </c:pt>
                <c:pt idx="25">
                  <c:v>0.8427672955974842</c:v>
                </c:pt>
                <c:pt idx="26">
                  <c:v>0.82580645161290323</c:v>
                </c:pt>
                <c:pt idx="27">
                  <c:v>0.83018867924528295</c:v>
                </c:pt>
                <c:pt idx="28">
                  <c:v>0.79194630872483229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DFC-4C63-93F1-3446050060A7}"/>
            </c:ext>
          </c:extLst>
        </c:ser>
        <c:ser>
          <c:idx val="11"/>
          <c:order val="11"/>
          <c:tx>
            <c:strRef>
              <c:f>'Sys-Dropout_lr'!$A$12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'Sys-Dropout_lr'!$B$12:$AD$12</c:f>
              <c:numCache>
                <c:formatCode>General</c:formatCode>
                <c:ptCount val="29"/>
                <c:pt idx="0">
                  <c:v>0.796875</c:v>
                </c:pt>
                <c:pt idx="1">
                  <c:v>0.796875</c:v>
                </c:pt>
                <c:pt idx="2">
                  <c:v>0.796875</c:v>
                </c:pt>
                <c:pt idx="3">
                  <c:v>0.796875</c:v>
                </c:pt>
                <c:pt idx="4">
                  <c:v>0.8203125</c:v>
                </c:pt>
                <c:pt idx="5">
                  <c:v>0.828125</c:v>
                </c:pt>
                <c:pt idx="6">
                  <c:v>0.8359375</c:v>
                </c:pt>
                <c:pt idx="7">
                  <c:v>0.8515625</c:v>
                </c:pt>
                <c:pt idx="8">
                  <c:v>0.890625</c:v>
                </c:pt>
                <c:pt idx="9">
                  <c:v>0.890625</c:v>
                </c:pt>
                <c:pt idx="10">
                  <c:v>0.890625</c:v>
                </c:pt>
                <c:pt idx="11">
                  <c:v>0.8828125</c:v>
                </c:pt>
                <c:pt idx="12">
                  <c:v>0.890625</c:v>
                </c:pt>
                <c:pt idx="13">
                  <c:v>0.8984375</c:v>
                </c:pt>
                <c:pt idx="14">
                  <c:v>0.8828125</c:v>
                </c:pt>
                <c:pt idx="15">
                  <c:v>0.8828125</c:v>
                </c:pt>
                <c:pt idx="16">
                  <c:v>0.8671875</c:v>
                </c:pt>
                <c:pt idx="17">
                  <c:v>0.875</c:v>
                </c:pt>
                <c:pt idx="18">
                  <c:v>0.859375</c:v>
                </c:pt>
                <c:pt idx="19">
                  <c:v>0.8671875</c:v>
                </c:pt>
                <c:pt idx="20">
                  <c:v>0.8671875</c:v>
                </c:pt>
                <c:pt idx="21">
                  <c:v>0.859375</c:v>
                </c:pt>
                <c:pt idx="22">
                  <c:v>0.8515625</c:v>
                </c:pt>
                <c:pt idx="23">
                  <c:v>0.859375</c:v>
                </c:pt>
                <c:pt idx="24">
                  <c:v>0.859375</c:v>
                </c:pt>
                <c:pt idx="25">
                  <c:v>0.84375</c:v>
                </c:pt>
                <c:pt idx="26">
                  <c:v>0.8515625</c:v>
                </c:pt>
                <c:pt idx="27">
                  <c:v>0.8359375</c:v>
                </c:pt>
                <c:pt idx="28">
                  <c:v>0.859375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'Sys-Dropout_lr'!$A$1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'Sys-Dropout_lr'!$B$1:$AD$1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68</c:v>
                      </c:pt>
                      <c:pt idx="1">
                        <c:v>68</c:v>
                      </c:pt>
                      <c:pt idx="2">
                        <c:v>68</c:v>
                      </c:pt>
                      <c:pt idx="3">
                        <c:v>68</c:v>
                      </c:pt>
                      <c:pt idx="4">
                        <c:v>65</c:v>
                      </c:pt>
                      <c:pt idx="5">
                        <c:v>62</c:v>
                      </c:pt>
                      <c:pt idx="6">
                        <c:v>62</c:v>
                      </c:pt>
                      <c:pt idx="7">
                        <c:v>59</c:v>
                      </c:pt>
                      <c:pt idx="8">
                        <c:v>60</c:v>
                      </c:pt>
                      <c:pt idx="9">
                        <c:v>59</c:v>
                      </c:pt>
                      <c:pt idx="10">
                        <c:v>61</c:v>
                      </c:pt>
                      <c:pt idx="11">
                        <c:v>58</c:v>
                      </c:pt>
                      <c:pt idx="12">
                        <c:v>56</c:v>
                      </c:pt>
                      <c:pt idx="13">
                        <c:v>62</c:v>
                      </c:pt>
                      <c:pt idx="14">
                        <c:v>62</c:v>
                      </c:pt>
                      <c:pt idx="15">
                        <c:v>63</c:v>
                      </c:pt>
                      <c:pt idx="16">
                        <c:v>63</c:v>
                      </c:pt>
                      <c:pt idx="17">
                        <c:v>63</c:v>
                      </c:pt>
                      <c:pt idx="18">
                        <c:v>66</c:v>
                      </c:pt>
                      <c:pt idx="19">
                        <c:v>61</c:v>
                      </c:pt>
                      <c:pt idx="20">
                        <c:v>64</c:v>
                      </c:pt>
                      <c:pt idx="21">
                        <c:v>63</c:v>
                      </c:pt>
                      <c:pt idx="22">
                        <c:v>67</c:v>
                      </c:pt>
                      <c:pt idx="23">
                        <c:v>63</c:v>
                      </c:pt>
                      <c:pt idx="24">
                        <c:v>63</c:v>
                      </c:pt>
                      <c:pt idx="25">
                        <c:v>67</c:v>
                      </c:pt>
                      <c:pt idx="26">
                        <c:v>64</c:v>
                      </c:pt>
                      <c:pt idx="27">
                        <c:v>66</c:v>
                      </c:pt>
                      <c:pt idx="28">
                        <c:v>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7</c:v>
                      </c:pt>
                      <c:pt idx="5">
                        <c:v>10</c:v>
                      </c:pt>
                      <c:pt idx="6">
                        <c:v>10</c:v>
                      </c:pt>
                      <c:pt idx="7">
                        <c:v>13</c:v>
                      </c:pt>
                      <c:pt idx="8">
                        <c:v>12</c:v>
                      </c:pt>
                      <c:pt idx="9">
                        <c:v>13</c:v>
                      </c:pt>
                      <c:pt idx="10">
                        <c:v>11</c:v>
                      </c:pt>
                      <c:pt idx="11">
                        <c:v>14</c:v>
                      </c:pt>
                      <c:pt idx="12">
                        <c:v>16</c:v>
                      </c:pt>
                      <c:pt idx="13">
                        <c:v>10</c:v>
                      </c:pt>
                      <c:pt idx="14">
                        <c:v>10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6</c:v>
                      </c:pt>
                      <c:pt idx="19">
                        <c:v>11</c:v>
                      </c:pt>
                      <c:pt idx="20">
                        <c:v>8</c:v>
                      </c:pt>
                      <c:pt idx="21">
                        <c:v>9</c:v>
                      </c:pt>
                      <c:pt idx="22">
                        <c:v>5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5</c:v>
                      </c:pt>
                      <c:pt idx="26">
                        <c:v>8</c:v>
                      </c:pt>
                      <c:pt idx="27">
                        <c:v>6</c:v>
                      </c:pt>
                      <c:pt idx="28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26</c:v>
                      </c:pt>
                      <c:pt idx="2">
                        <c:v>26</c:v>
                      </c:pt>
                      <c:pt idx="3">
                        <c:v>26</c:v>
                      </c:pt>
                      <c:pt idx="4">
                        <c:v>23</c:v>
                      </c:pt>
                      <c:pt idx="5">
                        <c:v>22</c:v>
                      </c:pt>
                      <c:pt idx="6">
                        <c:v>21</c:v>
                      </c:pt>
                      <c:pt idx="7">
                        <c:v>19</c:v>
                      </c:pt>
                      <c:pt idx="8">
                        <c:v>14</c:v>
                      </c:pt>
                      <c:pt idx="9">
                        <c:v>14</c:v>
                      </c:pt>
                      <c:pt idx="10">
                        <c:v>14</c:v>
                      </c:pt>
                      <c:pt idx="11">
                        <c:v>15</c:v>
                      </c:pt>
                      <c:pt idx="12">
                        <c:v>14</c:v>
                      </c:pt>
                      <c:pt idx="13">
                        <c:v>13</c:v>
                      </c:pt>
                      <c:pt idx="14">
                        <c:v>15</c:v>
                      </c:pt>
                      <c:pt idx="15">
                        <c:v>15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17</c:v>
                      </c:pt>
                      <c:pt idx="21">
                        <c:v>18</c:v>
                      </c:pt>
                      <c:pt idx="22">
                        <c:v>19</c:v>
                      </c:pt>
                      <c:pt idx="23">
                        <c:v>18</c:v>
                      </c:pt>
                      <c:pt idx="24">
                        <c:v>18</c:v>
                      </c:pt>
                      <c:pt idx="25">
                        <c:v>20</c:v>
                      </c:pt>
                      <c:pt idx="26">
                        <c:v>19</c:v>
                      </c:pt>
                      <c:pt idx="27">
                        <c:v>21</c:v>
                      </c:pt>
                      <c:pt idx="28">
                        <c:v>18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102</c:v>
                      </c:pt>
                      <c:pt idx="1">
                        <c:v>102</c:v>
                      </c:pt>
                      <c:pt idx="2">
                        <c:v>102</c:v>
                      </c:pt>
                      <c:pt idx="3">
                        <c:v>102</c:v>
                      </c:pt>
                      <c:pt idx="4">
                        <c:v>105</c:v>
                      </c:pt>
                      <c:pt idx="5">
                        <c:v>106</c:v>
                      </c:pt>
                      <c:pt idx="6">
                        <c:v>107</c:v>
                      </c:pt>
                      <c:pt idx="7">
                        <c:v>109</c:v>
                      </c:pt>
                      <c:pt idx="8">
                        <c:v>114</c:v>
                      </c:pt>
                      <c:pt idx="9">
                        <c:v>114</c:v>
                      </c:pt>
                      <c:pt idx="10">
                        <c:v>114</c:v>
                      </c:pt>
                      <c:pt idx="11">
                        <c:v>113</c:v>
                      </c:pt>
                      <c:pt idx="12">
                        <c:v>114</c:v>
                      </c:pt>
                      <c:pt idx="13">
                        <c:v>115</c:v>
                      </c:pt>
                      <c:pt idx="14">
                        <c:v>113</c:v>
                      </c:pt>
                      <c:pt idx="15">
                        <c:v>113</c:v>
                      </c:pt>
                      <c:pt idx="16">
                        <c:v>111</c:v>
                      </c:pt>
                      <c:pt idx="17">
                        <c:v>112</c:v>
                      </c:pt>
                      <c:pt idx="18">
                        <c:v>110</c:v>
                      </c:pt>
                      <c:pt idx="19">
                        <c:v>111</c:v>
                      </c:pt>
                      <c:pt idx="20">
                        <c:v>111</c:v>
                      </c:pt>
                      <c:pt idx="21">
                        <c:v>110</c:v>
                      </c:pt>
                      <c:pt idx="22">
                        <c:v>109</c:v>
                      </c:pt>
                      <c:pt idx="23">
                        <c:v>110</c:v>
                      </c:pt>
                      <c:pt idx="24">
                        <c:v>110</c:v>
                      </c:pt>
                      <c:pt idx="25">
                        <c:v>108</c:v>
                      </c:pt>
                      <c:pt idx="26">
                        <c:v>109</c:v>
                      </c:pt>
                      <c:pt idx="27">
                        <c:v>107</c:v>
                      </c:pt>
                      <c:pt idx="28">
                        <c:v>110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0.15000000000000002</c:v>
                      </c:pt>
                      <c:pt idx="1">
                        <c:v>0.15000000000000002</c:v>
                      </c:pt>
                      <c:pt idx="2">
                        <c:v>0.15000000000000002</c:v>
                      </c:pt>
                      <c:pt idx="3">
                        <c:v>0.15000000000000002</c:v>
                      </c:pt>
                      <c:pt idx="4">
                        <c:v>0.15000000000000002</c:v>
                      </c:pt>
                      <c:pt idx="5">
                        <c:v>0.16000000000000003</c:v>
                      </c:pt>
                      <c:pt idx="6">
                        <c:v>0.15500000000000003</c:v>
                      </c:pt>
                      <c:pt idx="7">
                        <c:v>0.16000000000000003</c:v>
                      </c:pt>
                      <c:pt idx="8">
                        <c:v>0.13</c:v>
                      </c:pt>
                      <c:pt idx="9">
                        <c:v>0.13500000000000001</c:v>
                      </c:pt>
                      <c:pt idx="10">
                        <c:v>0.125</c:v>
                      </c:pt>
                      <c:pt idx="11">
                        <c:v>0.14500000000000002</c:v>
                      </c:pt>
                      <c:pt idx="12">
                        <c:v>0.15000000000000002</c:v>
                      </c:pt>
                      <c:pt idx="13">
                        <c:v>0.11499999999999999</c:v>
                      </c:pt>
                      <c:pt idx="14">
                        <c:v>0.125</c:v>
                      </c:pt>
                      <c:pt idx="15">
                        <c:v>0.12</c:v>
                      </c:pt>
                      <c:pt idx="16">
                        <c:v>0.13</c:v>
                      </c:pt>
                      <c:pt idx="17">
                        <c:v>0.125</c:v>
                      </c:pt>
                      <c:pt idx="18">
                        <c:v>0.12</c:v>
                      </c:pt>
                      <c:pt idx="19">
                        <c:v>0.14000000000000001</c:v>
                      </c:pt>
                      <c:pt idx="20">
                        <c:v>0.125</c:v>
                      </c:pt>
                      <c:pt idx="21">
                        <c:v>0.13500000000000001</c:v>
                      </c:pt>
                      <c:pt idx="22">
                        <c:v>0.12</c:v>
                      </c:pt>
                      <c:pt idx="23">
                        <c:v>0.13500000000000001</c:v>
                      </c:pt>
                      <c:pt idx="24">
                        <c:v>0.13500000000000001</c:v>
                      </c:pt>
                      <c:pt idx="25">
                        <c:v>0.125</c:v>
                      </c:pt>
                      <c:pt idx="26">
                        <c:v>0.13500000000000001</c:v>
                      </c:pt>
                      <c:pt idx="27">
                        <c:v>0.13500000000000001</c:v>
                      </c:pt>
                      <c:pt idx="28">
                        <c:v>0.15500000000000003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6700000000000001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10737</xdr:colOff>
      <xdr:row>13</xdr:row>
      <xdr:rowOff>20067</xdr:rowOff>
    </xdr:from>
    <xdr:to>
      <xdr:col>29</xdr:col>
      <xdr:colOff>219809</xdr:colOff>
      <xdr:row>26</xdr:row>
      <xdr:rowOff>183173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47371</xdr:colOff>
      <xdr:row>14</xdr:row>
      <xdr:rowOff>42047</xdr:rowOff>
    </xdr:from>
    <xdr:to>
      <xdr:col>29</xdr:col>
      <xdr:colOff>256443</xdr:colOff>
      <xdr:row>28</xdr:row>
      <xdr:rowOff>14653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zoomScale="130" zoomScaleNormal="130" workbookViewId="0">
      <selection activeCell="AF10" sqref="AF10"/>
    </sheetView>
  </sheetViews>
  <sheetFormatPr baseColWidth="10" defaultRowHeight="15" x14ac:dyDescent="0.25"/>
  <cols>
    <col min="1" max="1" width="31" customWidth="1"/>
    <col min="2" max="30" width="4.140625" style="1" customWidth="1"/>
  </cols>
  <sheetData>
    <row r="1" spans="1:30" x14ac:dyDescent="0.25">
      <c r="A1" t="s">
        <v>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7</v>
      </c>
      <c r="B2" s="1">
        <v>90</v>
      </c>
      <c r="C2" s="1">
        <v>90</v>
      </c>
      <c r="D2" s="1">
        <v>90</v>
      </c>
      <c r="E2" s="1">
        <v>90</v>
      </c>
      <c r="F2" s="1">
        <v>90</v>
      </c>
      <c r="G2" s="1">
        <v>90</v>
      </c>
      <c r="H2" s="1">
        <v>90</v>
      </c>
      <c r="I2" s="1">
        <v>90</v>
      </c>
      <c r="J2" s="1">
        <v>91</v>
      </c>
      <c r="K2" s="1">
        <v>91</v>
      </c>
      <c r="L2" s="1">
        <v>91</v>
      </c>
      <c r="M2" s="1">
        <v>91</v>
      </c>
      <c r="N2" s="1">
        <v>91</v>
      </c>
      <c r="O2" s="1">
        <v>92</v>
      </c>
      <c r="P2" s="1">
        <v>94</v>
      </c>
      <c r="Q2" s="1">
        <v>93</v>
      </c>
      <c r="R2" s="1">
        <v>92</v>
      </c>
      <c r="S2" s="1">
        <v>92</v>
      </c>
      <c r="T2" s="1">
        <v>91</v>
      </c>
      <c r="U2" s="1">
        <v>92</v>
      </c>
      <c r="V2" s="1">
        <v>93</v>
      </c>
      <c r="W2" s="1">
        <v>93</v>
      </c>
      <c r="X2" s="1">
        <v>93</v>
      </c>
      <c r="Y2" s="1">
        <v>93</v>
      </c>
      <c r="Z2" s="1">
        <v>93</v>
      </c>
      <c r="AA2" s="1">
        <v>93</v>
      </c>
      <c r="AB2" s="1">
        <v>92</v>
      </c>
      <c r="AC2" s="1">
        <v>92</v>
      </c>
      <c r="AD2" s="1">
        <v>92</v>
      </c>
    </row>
    <row r="3" spans="1:30" x14ac:dyDescent="0.25">
      <c r="A3" t="s">
        <v>8</v>
      </c>
      <c r="B3" s="1">
        <v>4</v>
      </c>
      <c r="C3" s="1">
        <v>4</v>
      </c>
      <c r="D3" s="1">
        <v>4</v>
      </c>
      <c r="E3" s="1">
        <v>4</v>
      </c>
      <c r="F3" s="1">
        <v>4</v>
      </c>
      <c r="G3" s="1">
        <v>4</v>
      </c>
      <c r="H3" s="1">
        <v>4</v>
      </c>
      <c r="I3" s="1">
        <v>4</v>
      </c>
      <c r="J3" s="1">
        <v>3</v>
      </c>
      <c r="K3" s="1">
        <v>3</v>
      </c>
      <c r="L3" s="1">
        <v>3</v>
      </c>
      <c r="M3" s="1">
        <v>3</v>
      </c>
      <c r="N3" s="1">
        <v>3</v>
      </c>
      <c r="O3" s="1">
        <v>2</v>
      </c>
      <c r="P3" s="1">
        <v>0</v>
      </c>
      <c r="Q3" s="1">
        <v>1</v>
      </c>
      <c r="R3" s="1">
        <v>2</v>
      </c>
      <c r="S3" s="1">
        <v>2</v>
      </c>
      <c r="T3" s="1">
        <v>3</v>
      </c>
      <c r="U3" s="1">
        <v>2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2</v>
      </c>
      <c r="AC3" s="1">
        <v>2</v>
      </c>
      <c r="AD3" s="1">
        <v>2</v>
      </c>
    </row>
    <row r="4" spans="1:30" x14ac:dyDescent="0.25">
      <c r="A4" t="s">
        <v>9</v>
      </c>
      <c r="B4" s="1">
        <v>16</v>
      </c>
      <c r="C4" s="1">
        <v>16</v>
      </c>
      <c r="D4" s="1">
        <v>16</v>
      </c>
      <c r="E4" s="1">
        <v>16</v>
      </c>
      <c r="F4" s="1">
        <v>18</v>
      </c>
      <c r="G4" s="1">
        <v>16</v>
      </c>
      <c r="H4" s="1">
        <v>17</v>
      </c>
      <c r="I4" s="1">
        <v>18</v>
      </c>
      <c r="J4" s="1">
        <v>24</v>
      </c>
      <c r="K4" s="1">
        <v>23</v>
      </c>
      <c r="L4" s="1">
        <v>24</v>
      </c>
      <c r="M4" s="1">
        <v>23</v>
      </c>
      <c r="N4" s="1">
        <v>19</v>
      </c>
      <c r="O4" s="1">
        <v>19</v>
      </c>
      <c r="P4" s="1">
        <v>19</v>
      </c>
      <c r="Q4" s="1">
        <v>19</v>
      </c>
      <c r="R4" s="1">
        <v>18</v>
      </c>
      <c r="S4" s="1">
        <v>19</v>
      </c>
      <c r="T4" s="1">
        <v>15</v>
      </c>
      <c r="U4" s="1">
        <v>14</v>
      </c>
      <c r="V4" s="1">
        <v>14</v>
      </c>
      <c r="W4" s="1">
        <v>14</v>
      </c>
      <c r="X4" s="1">
        <v>14</v>
      </c>
      <c r="Y4" s="1">
        <v>13</v>
      </c>
      <c r="Z4" s="1">
        <v>13</v>
      </c>
      <c r="AA4" s="1">
        <v>13</v>
      </c>
      <c r="AB4" s="1">
        <v>12</v>
      </c>
      <c r="AC4" s="1">
        <v>12</v>
      </c>
      <c r="AD4" s="1">
        <v>13</v>
      </c>
    </row>
    <row r="5" spans="1:30" x14ac:dyDescent="0.25">
      <c r="A5" t="s">
        <v>10</v>
      </c>
      <c r="B5" s="1">
        <v>90</v>
      </c>
      <c r="C5" s="1">
        <v>90</v>
      </c>
      <c r="D5" s="1">
        <v>90</v>
      </c>
      <c r="E5" s="1">
        <v>90</v>
      </c>
      <c r="F5" s="1">
        <v>88</v>
      </c>
      <c r="G5" s="1">
        <v>90</v>
      </c>
      <c r="H5" s="1">
        <v>89</v>
      </c>
      <c r="I5" s="1">
        <v>88</v>
      </c>
      <c r="J5" s="1">
        <v>82</v>
      </c>
      <c r="K5" s="1">
        <v>83</v>
      </c>
      <c r="L5" s="1">
        <v>82</v>
      </c>
      <c r="M5" s="1">
        <v>83</v>
      </c>
      <c r="N5" s="1">
        <v>87</v>
      </c>
      <c r="O5" s="1">
        <v>87</v>
      </c>
      <c r="P5" s="1">
        <v>87</v>
      </c>
      <c r="Q5" s="1">
        <v>87</v>
      </c>
      <c r="R5" s="1">
        <v>88</v>
      </c>
      <c r="S5" s="1">
        <v>87</v>
      </c>
      <c r="T5" s="1">
        <v>91</v>
      </c>
      <c r="U5" s="1">
        <v>92</v>
      </c>
      <c r="V5" s="1">
        <v>92</v>
      </c>
      <c r="W5" s="1">
        <v>92</v>
      </c>
      <c r="X5" s="1">
        <v>92</v>
      </c>
      <c r="Y5" s="1">
        <v>93</v>
      </c>
      <c r="Z5" s="1">
        <v>93</v>
      </c>
      <c r="AA5" s="1">
        <v>93</v>
      </c>
      <c r="AB5" s="1">
        <v>94</v>
      </c>
      <c r="AC5" s="1">
        <v>94</v>
      </c>
      <c r="AD5" s="1">
        <v>93</v>
      </c>
    </row>
    <row r="6" spans="1:30" x14ac:dyDescent="0.25">
      <c r="A6" t="s">
        <v>13</v>
      </c>
      <c r="B6" s="1">
        <f t="shared" ref="B6:AD6" si="0">SUM(B2:B5)</f>
        <v>200</v>
      </c>
      <c r="C6" s="1">
        <f t="shared" si="0"/>
        <v>200</v>
      </c>
      <c r="D6" s="1">
        <f t="shared" si="0"/>
        <v>200</v>
      </c>
      <c r="E6" s="1">
        <f t="shared" si="0"/>
        <v>200</v>
      </c>
      <c r="F6" s="1">
        <f t="shared" si="0"/>
        <v>200</v>
      </c>
      <c r="G6" s="1">
        <f t="shared" si="0"/>
        <v>200</v>
      </c>
      <c r="H6" s="1">
        <f t="shared" si="0"/>
        <v>200</v>
      </c>
      <c r="I6" s="1">
        <f t="shared" si="0"/>
        <v>200</v>
      </c>
      <c r="J6" s="1">
        <f t="shared" si="0"/>
        <v>200</v>
      </c>
      <c r="K6" s="1">
        <f t="shared" si="0"/>
        <v>200</v>
      </c>
      <c r="L6" s="1">
        <f t="shared" si="0"/>
        <v>200</v>
      </c>
      <c r="M6" s="1">
        <f t="shared" si="0"/>
        <v>200</v>
      </c>
      <c r="N6" s="1">
        <f t="shared" si="0"/>
        <v>200</v>
      </c>
      <c r="O6" s="1">
        <f t="shared" si="0"/>
        <v>200</v>
      </c>
      <c r="P6" s="1">
        <f t="shared" si="0"/>
        <v>200</v>
      </c>
      <c r="Q6" s="1">
        <f t="shared" si="0"/>
        <v>200</v>
      </c>
      <c r="R6" s="1">
        <f t="shared" si="0"/>
        <v>200</v>
      </c>
      <c r="S6" s="1">
        <f t="shared" si="0"/>
        <v>200</v>
      </c>
      <c r="T6" s="1">
        <f t="shared" si="0"/>
        <v>200</v>
      </c>
      <c r="U6" s="1">
        <f t="shared" si="0"/>
        <v>200</v>
      </c>
      <c r="V6" s="1">
        <f t="shared" si="0"/>
        <v>200</v>
      </c>
      <c r="W6" s="1">
        <f t="shared" si="0"/>
        <v>200</v>
      </c>
      <c r="X6" s="1">
        <f t="shared" si="0"/>
        <v>200</v>
      </c>
      <c r="Y6" s="1">
        <f t="shared" si="0"/>
        <v>200</v>
      </c>
      <c r="Z6" s="1">
        <f t="shared" si="0"/>
        <v>200</v>
      </c>
      <c r="AA6" s="1">
        <f t="shared" si="0"/>
        <v>200</v>
      </c>
      <c r="AB6" s="1">
        <f t="shared" si="0"/>
        <v>200</v>
      </c>
      <c r="AC6" s="1">
        <f t="shared" si="0"/>
        <v>200</v>
      </c>
      <c r="AD6" s="1">
        <f t="shared" si="0"/>
        <v>200</v>
      </c>
    </row>
    <row r="7" spans="1:30" x14ac:dyDescent="0.25">
      <c r="A7" t="s">
        <v>0</v>
      </c>
      <c r="B7" s="1">
        <f>(B5+B2)/B6</f>
        <v>0.9</v>
      </c>
      <c r="C7" s="1">
        <f t="shared" ref="C7:AD7" si="1">(C5+C2)/C6</f>
        <v>0.9</v>
      </c>
      <c r="D7" s="1">
        <f t="shared" si="1"/>
        <v>0.9</v>
      </c>
      <c r="E7" s="1">
        <f t="shared" si="1"/>
        <v>0.9</v>
      </c>
      <c r="F7" s="1">
        <f t="shared" si="1"/>
        <v>0.89</v>
      </c>
      <c r="G7" s="1">
        <f t="shared" si="1"/>
        <v>0.9</v>
      </c>
      <c r="H7" s="3">
        <f t="shared" si="1"/>
        <v>0.89500000000000002</v>
      </c>
      <c r="I7" s="1">
        <f t="shared" si="1"/>
        <v>0.89</v>
      </c>
      <c r="J7" s="1">
        <f t="shared" si="1"/>
        <v>0.86499999999999999</v>
      </c>
      <c r="K7" s="1">
        <f t="shared" si="1"/>
        <v>0.87</v>
      </c>
      <c r="L7" s="1">
        <f t="shared" si="1"/>
        <v>0.86499999999999999</v>
      </c>
      <c r="M7" s="1">
        <f t="shared" si="1"/>
        <v>0.87</v>
      </c>
      <c r="N7" s="1">
        <f t="shared" si="1"/>
        <v>0.89</v>
      </c>
      <c r="O7" s="1">
        <f t="shared" si="1"/>
        <v>0.89500000000000002</v>
      </c>
      <c r="P7" s="1">
        <f t="shared" si="1"/>
        <v>0.90500000000000003</v>
      </c>
      <c r="Q7" s="1">
        <f t="shared" si="1"/>
        <v>0.9</v>
      </c>
      <c r="R7" s="1">
        <f t="shared" si="1"/>
        <v>0.9</v>
      </c>
      <c r="S7" s="1">
        <f t="shared" si="1"/>
        <v>0.89500000000000002</v>
      </c>
      <c r="T7" s="1">
        <f t="shared" si="1"/>
        <v>0.91</v>
      </c>
      <c r="U7" s="1">
        <f t="shared" si="1"/>
        <v>0.92</v>
      </c>
      <c r="V7" s="1">
        <f t="shared" si="1"/>
        <v>0.92500000000000004</v>
      </c>
      <c r="W7" s="1">
        <f t="shared" si="1"/>
        <v>0.92500000000000004</v>
      </c>
      <c r="X7" s="1">
        <f t="shared" si="1"/>
        <v>0.92500000000000004</v>
      </c>
      <c r="Y7" s="1">
        <f t="shared" si="1"/>
        <v>0.93</v>
      </c>
      <c r="Z7" s="1">
        <f t="shared" si="1"/>
        <v>0.93</v>
      </c>
      <c r="AA7" s="1">
        <f t="shared" si="1"/>
        <v>0.93</v>
      </c>
      <c r="AB7" s="1">
        <f t="shared" si="1"/>
        <v>0.93</v>
      </c>
      <c r="AC7" s="1">
        <f t="shared" si="1"/>
        <v>0.93</v>
      </c>
      <c r="AD7" s="3">
        <f t="shared" si="1"/>
        <v>0.92500000000000004</v>
      </c>
    </row>
    <row r="8" spans="1:30" x14ac:dyDescent="0.25">
      <c r="A8" t="s">
        <v>1</v>
      </c>
      <c r="B8" s="1">
        <f>1-B7</f>
        <v>9.9999999999999978E-2</v>
      </c>
      <c r="C8" s="1">
        <f t="shared" ref="C8:AD8" si="2">1-C7</f>
        <v>9.9999999999999978E-2</v>
      </c>
      <c r="D8" s="1">
        <f t="shared" si="2"/>
        <v>9.9999999999999978E-2</v>
      </c>
      <c r="E8" s="1">
        <f t="shared" si="2"/>
        <v>9.9999999999999978E-2</v>
      </c>
      <c r="F8" s="1">
        <f t="shared" si="2"/>
        <v>0.10999999999999999</v>
      </c>
      <c r="G8" s="1">
        <f t="shared" si="2"/>
        <v>9.9999999999999978E-2</v>
      </c>
      <c r="H8" s="3">
        <f t="shared" si="2"/>
        <v>0.10499999999999998</v>
      </c>
      <c r="I8" s="1">
        <f t="shared" si="2"/>
        <v>0.10999999999999999</v>
      </c>
      <c r="J8" s="1">
        <f t="shared" si="2"/>
        <v>0.13500000000000001</v>
      </c>
      <c r="K8" s="1">
        <f t="shared" si="2"/>
        <v>0.13</v>
      </c>
      <c r="L8" s="1">
        <f t="shared" si="2"/>
        <v>0.13500000000000001</v>
      </c>
      <c r="M8" s="1">
        <f t="shared" si="2"/>
        <v>0.13</v>
      </c>
      <c r="N8" s="1">
        <f t="shared" si="2"/>
        <v>0.10999999999999999</v>
      </c>
      <c r="O8" s="1">
        <f t="shared" si="2"/>
        <v>0.10499999999999998</v>
      </c>
      <c r="P8" s="1">
        <f t="shared" si="2"/>
        <v>9.4999999999999973E-2</v>
      </c>
      <c r="Q8" s="1">
        <f t="shared" si="2"/>
        <v>9.9999999999999978E-2</v>
      </c>
      <c r="R8" s="1">
        <f t="shared" si="2"/>
        <v>9.9999999999999978E-2</v>
      </c>
      <c r="S8" s="1">
        <f t="shared" si="2"/>
        <v>0.10499999999999998</v>
      </c>
      <c r="T8" s="1">
        <f t="shared" si="2"/>
        <v>8.9999999999999969E-2</v>
      </c>
      <c r="U8" s="1">
        <f t="shared" si="2"/>
        <v>7.999999999999996E-2</v>
      </c>
      <c r="V8" s="1">
        <f t="shared" si="2"/>
        <v>7.4999999999999956E-2</v>
      </c>
      <c r="W8" s="1">
        <f t="shared" si="2"/>
        <v>7.4999999999999956E-2</v>
      </c>
      <c r="X8" s="1">
        <f t="shared" si="2"/>
        <v>7.4999999999999956E-2</v>
      </c>
      <c r="Y8" s="1">
        <f t="shared" si="2"/>
        <v>6.9999999999999951E-2</v>
      </c>
      <c r="Z8" s="1">
        <f t="shared" si="2"/>
        <v>6.9999999999999951E-2</v>
      </c>
      <c r="AA8" s="1">
        <f t="shared" si="2"/>
        <v>6.9999999999999951E-2</v>
      </c>
      <c r="AB8" s="1">
        <f t="shared" si="2"/>
        <v>6.9999999999999951E-2</v>
      </c>
      <c r="AC8" s="1">
        <f t="shared" si="2"/>
        <v>6.9999999999999951E-2</v>
      </c>
      <c r="AD8" s="3">
        <f t="shared" si="2"/>
        <v>7.4999999999999956E-2</v>
      </c>
    </row>
    <row r="9" spans="1:30" x14ac:dyDescent="0.25">
      <c r="A9" t="s">
        <v>22</v>
      </c>
      <c r="B9" s="1">
        <f>B2/(B2+B3)</f>
        <v>0.95744680851063835</v>
      </c>
      <c r="C9" s="1">
        <f t="shared" ref="C9:AD9" si="3">C2/(C2+C3)</f>
        <v>0.95744680851063835</v>
      </c>
      <c r="D9" s="1">
        <f t="shared" si="3"/>
        <v>0.95744680851063835</v>
      </c>
      <c r="E9" s="1">
        <f t="shared" si="3"/>
        <v>0.95744680851063835</v>
      </c>
      <c r="F9" s="1">
        <f t="shared" si="3"/>
        <v>0.95744680851063835</v>
      </c>
      <c r="G9" s="1">
        <f t="shared" si="3"/>
        <v>0.95744680851063835</v>
      </c>
      <c r="H9" s="3">
        <f t="shared" si="3"/>
        <v>0.95744680851063835</v>
      </c>
      <c r="I9" s="1">
        <f t="shared" si="3"/>
        <v>0.95744680851063835</v>
      </c>
      <c r="J9" s="1">
        <f t="shared" si="3"/>
        <v>0.96808510638297873</v>
      </c>
      <c r="K9" s="1">
        <f t="shared" si="3"/>
        <v>0.96808510638297873</v>
      </c>
      <c r="L9" s="1">
        <f t="shared" si="3"/>
        <v>0.96808510638297873</v>
      </c>
      <c r="M9" s="1">
        <f t="shared" si="3"/>
        <v>0.96808510638297873</v>
      </c>
      <c r="N9" s="1">
        <f t="shared" si="3"/>
        <v>0.96808510638297873</v>
      </c>
      <c r="O9" s="1">
        <f t="shared" si="3"/>
        <v>0.97872340425531912</v>
      </c>
      <c r="P9" s="1">
        <f t="shared" si="3"/>
        <v>1</v>
      </c>
      <c r="Q9" s="1">
        <f t="shared" si="3"/>
        <v>0.98936170212765961</v>
      </c>
      <c r="R9" s="1">
        <f t="shared" si="3"/>
        <v>0.97872340425531912</v>
      </c>
      <c r="S9" s="1">
        <f t="shared" si="3"/>
        <v>0.97872340425531912</v>
      </c>
      <c r="T9" s="1">
        <f t="shared" si="3"/>
        <v>0.96808510638297873</v>
      </c>
      <c r="U9" s="1">
        <f t="shared" si="3"/>
        <v>0.97872340425531912</v>
      </c>
      <c r="V9" s="1">
        <f t="shared" si="3"/>
        <v>0.98936170212765961</v>
      </c>
      <c r="W9" s="1">
        <f t="shared" si="3"/>
        <v>0.98936170212765961</v>
      </c>
      <c r="X9" s="1">
        <f t="shared" si="3"/>
        <v>0.98936170212765961</v>
      </c>
      <c r="Y9" s="1">
        <f t="shared" si="3"/>
        <v>0.98936170212765961</v>
      </c>
      <c r="Z9" s="1">
        <f t="shared" si="3"/>
        <v>0.98936170212765961</v>
      </c>
      <c r="AA9" s="1">
        <f t="shared" si="3"/>
        <v>0.98936170212765961</v>
      </c>
      <c r="AB9" s="1">
        <f t="shared" si="3"/>
        <v>0.97872340425531912</v>
      </c>
      <c r="AC9" s="1">
        <f t="shared" si="3"/>
        <v>0.97872340425531912</v>
      </c>
      <c r="AD9" s="3">
        <f t="shared" si="3"/>
        <v>0.97872340425531912</v>
      </c>
    </row>
    <row r="10" spans="1:30" x14ac:dyDescent="0.25">
      <c r="A10" t="s">
        <v>21</v>
      </c>
      <c r="B10" s="1">
        <f>B2/(B2+B4)</f>
        <v>0.84905660377358494</v>
      </c>
      <c r="C10" s="1">
        <f t="shared" ref="C10:AD10" si="4">C2/(C2+C4)</f>
        <v>0.84905660377358494</v>
      </c>
      <c r="D10" s="1">
        <f t="shared" si="4"/>
        <v>0.84905660377358494</v>
      </c>
      <c r="E10" s="1">
        <f t="shared" si="4"/>
        <v>0.84905660377358494</v>
      </c>
      <c r="F10" s="1">
        <f t="shared" si="4"/>
        <v>0.83333333333333337</v>
      </c>
      <c r="G10" s="1">
        <f t="shared" si="4"/>
        <v>0.84905660377358494</v>
      </c>
      <c r="H10" s="3">
        <f t="shared" si="4"/>
        <v>0.84112149532710279</v>
      </c>
      <c r="I10" s="1">
        <f t="shared" si="4"/>
        <v>0.83333333333333337</v>
      </c>
      <c r="J10" s="1">
        <f t="shared" si="4"/>
        <v>0.79130434782608694</v>
      </c>
      <c r="K10" s="1">
        <f t="shared" si="4"/>
        <v>0.79824561403508776</v>
      </c>
      <c r="L10" s="1">
        <f t="shared" si="4"/>
        <v>0.79130434782608694</v>
      </c>
      <c r="M10" s="1">
        <f t="shared" si="4"/>
        <v>0.79824561403508776</v>
      </c>
      <c r="N10" s="1">
        <f t="shared" si="4"/>
        <v>0.82727272727272727</v>
      </c>
      <c r="O10" s="1">
        <f t="shared" si="4"/>
        <v>0.8288288288288288</v>
      </c>
      <c r="P10" s="1">
        <f t="shared" si="4"/>
        <v>0.83185840707964598</v>
      </c>
      <c r="Q10" s="1">
        <f t="shared" si="4"/>
        <v>0.8303571428571429</v>
      </c>
      <c r="R10" s="1">
        <f t="shared" si="4"/>
        <v>0.83636363636363631</v>
      </c>
      <c r="S10" s="1">
        <f t="shared" si="4"/>
        <v>0.8288288288288288</v>
      </c>
      <c r="T10" s="1">
        <f t="shared" si="4"/>
        <v>0.85849056603773588</v>
      </c>
      <c r="U10" s="1">
        <f t="shared" si="4"/>
        <v>0.86792452830188682</v>
      </c>
      <c r="V10" s="1">
        <f t="shared" si="4"/>
        <v>0.86915887850467288</v>
      </c>
      <c r="W10" s="1">
        <f t="shared" si="4"/>
        <v>0.86915887850467288</v>
      </c>
      <c r="X10" s="1">
        <f t="shared" si="4"/>
        <v>0.86915887850467288</v>
      </c>
      <c r="Y10" s="1">
        <f t="shared" si="4"/>
        <v>0.87735849056603776</v>
      </c>
      <c r="Z10" s="1">
        <f t="shared" si="4"/>
        <v>0.87735849056603776</v>
      </c>
      <c r="AA10" s="1">
        <f t="shared" si="4"/>
        <v>0.87735849056603776</v>
      </c>
      <c r="AB10" s="1">
        <f t="shared" si="4"/>
        <v>0.88461538461538458</v>
      </c>
      <c r="AC10" s="1">
        <f t="shared" si="4"/>
        <v>0.88461538461538458</v>
      </c>
      <c r="AD10" s="3">
        <f t="shared" si="4"/>
        <v>0.87619047619047619</v>
      </c>
    </row>
    <row r="11" spans="1:30" x14ac:dyDescent="0.25">
      <c r="A11" t="s">
        <v>11</v>
      </c>
      <c r="B11" s="1">
        <f>2*B9*B10/(B9+B10)</f>
        <v>0.9</v>
      </c>
      <c r="C11" s="1">
        <f t="shared" ref="C11:AD11" si="5">2*C9*C10/(C9+C10)</f>
        <v>0.9</v>
      </c>
      <c r="D11" s="1">
        <f t="shared" si="5"/>
        <v>0.9</v>
      </c>
      <c r="E11" s="1">
        <f t="shared" si="5"/>
        <v>0.9</v>
      </c>
      <c r="F11" s="1">
        <f t="shared" si="5"/>
        <v>0.8910891089108911</v>
      </c>
      <c r="G11" s="1">
        <f t="shared" si="5"/>
        <v>0.9</v>
      </c>
      <c r="H11" s="3">
        <f t="shared" si="5"/>
        <v>0.89552238805970152</v>
      </c>
      <c r="I11" s="1">
        <f t="shared" si="5"/>
        <v>0.8910891089108911</v>
      </c>
      <c r="J11" s="1">
        <f t="shared" si="5"/>
        <v>0.87081339712918659</v>
      </c>
      <c r="K11" s="1">
        <f t="shared" si="5"/>
        <v>0.875</v>
      </c>
      <c r="L11" s="1">
        <f t="shared" si="5"/>
        <v>0.87081339712918659</v>
      </c>
      <c r="M11" s="1">
        <f t="shared" si="5"/>
        <v>0.875</v>
      </c>
      <c r="N11" s="1">
        <f t="shared" si="5"/>
        <v>0.8921568627450982</v>
      </c>
      <c r="O11" s="1">
        <f t="shared" si="5"/>
        <v>0.89756097560975612</v>
      </c>
      <c r="P11" s="1">
        <f t="shared" si="5"/>
        <v>0.90821256038647336</v>
      </c>
      <c r="Q11" s="1">
        <f t="shared" si="5"/>
        <v>0.90291262135922334</v>
      </c>
      <c r="R11" s="1">
        <f t="shared" si="5"/>
        <v>0.90196078431372551</v>
      </c>
      <c r="S11" s="1">
        <f t="shared" si="5"/>
        <v>0.89756097560975612</v>
      </c>
      <c r="T11" s="1">
        <f t="shared" si="5"/>
        <v>0.91</v>
      </c>
      <c r="U11" s="1">
        <f t="shared" si="5"/>
        <v>0.91999999999999993</v>
      </c>
      <c r="V11" s="1">
        <f t="shared" si="5"/>
        <v>0.92537313432835822</v>
      </c>
      <c r="W11" s="1">
        <f t="shared" si="5"/>
        <v>0.92537313432835822</v>
      </c>
      <c r="X11" s="1">
        <f t="shared" si="5"/>
        <v>0.92537313432835822</v>
      </c>
      <c r="Y11" s="1">
        <f t="shared" si="5"/>
        <v>0.93</v>
      </c>
      <c r="Z11" s="1">
        <f t="shared" si="5"/>
        <v>0.93</v>
      </c>
      <c r="AA11" s="1">
        <f t="shared" si="5"/>
        <v>0.93</v>
      </c>
      <c r="AB11" s="1">
        <f t="shared" si="5"/>
        <v>0.92929292929292928</v>
      </c>
      <c r="AC11" s="1">
        <f t="shared" si="5"/>
        <v>0.92929292929292928</v>
      </c>
      <c r="AD11" s="3">
        <f t="shared" si="5"/>
        <v>0.92462311557788956</v>
      </c>
    </row>
    <row r="12" spans="1:30" x14ac:dyDescent="0.25">
      <c r="A12" t="s">
        <v>12</v>
      </c>
      <c r="B12" s="1">
        <f>B5/(B4+B5)</f>
        <v>0.84905660377358494</v>
      </c>
      <c r="C12" s="1">
        <f t="shared" ref="C12:AD12" si="6">C5/(C4+C5)</f>
        <v>0.84905660377358494</v>
      </c>
      <c r="D12" s="1">
        <f t="shared" si="6"/>
        <v>0.84905660377358494</v>
      </c>
      <c r="E12" s="1">
        <f t="shared" si="6"/>
        <v>0.84905660377358494</v>
      </c>
      <c r="F12" s="1">
        <f t="shared" si="6"/>
        <v>0.83018867924528306</v>
      </c>
      <c r="G12" s="1">
        <f t="shared" si="6"/>
        <v>0.84905660377358494</v>
      </c>
      <c r="H12" s="3">
        <f t="shared" si="6"/>
        <v>0.839622641509434</v>
      </c>
      <c r="I12" s="1">
        <f t="shared" si="6"/>
        <v>0.83018867924528306</v>
      </c>
      <c r="J12" s="1">
        <f t="shared" si="6"/>
        <v>0.77358490566037741</v>
      </c>
      <c r="K12" s="1">
        <f t="shared" si="6"/>
        <v>0.78301886792452835</v>
      </c>
      <c r="L12" s="1">
        <f t="shared" si="6"/>
        <v>0.77358490566037741</v>
      </c>
      <c r="M12" s="1">
        <f t="shared" si="6"/>
        <v>0.78301886792452835</v>
      </c>
      <c r="N12" s="1">
        <f t="shared" si="6"/>
        <v>0.82075471698113212</v>
      </c>
      <c r="O12" s="1">
        <f t="shared" si="6"/>
        <v>0.82075471698113212</v>
      </c>
      <c r="P12" s="1">
        <f t="shared" si="6"/>
        <v>0.82075471698113212</v>
      </c>
      <c r="Q12" s="1">
        <f t="shared" si="6"/>
        <v>0.82075471698113212</v>
      </c>
      <c r="R12" s="1">
        <f t="shared" si="6"/>
        <v>0.83018867924528306</v>
      </c>
      <c r="S12" s="1">
        <f t="shared" si="6"/>
        <v>0.82075471698113212</v>
      </c>
      <c r="T12" s="1">
        <f t="shared" si="6"/>
        <v>0.85849056603773588</v>
      </c>
      <c r="U12" s="1">
        <f t="shared" si="6"/>
        <v>0.86792452830188682</v>
      </c>
      <c r="V12" s="1">
        <f t="shared" si="6"/>
        <v>0.86792452830188682</v>
      </c>
      <c r="W12" s="1">
        <f t="shared" si="6"/>
        <v>0.86792452830188682</v>
      </c>
      <c r="X12" s="1">
        <f t="shared" si="6"/>
        <v>0.86792452830188682</v>
      </c>
      <c r="Y12" s="1">
        <f t="shared" si="6"/>
        <v>0.87735849056603776</v>
      </c>
      <c r="Z12" s="1">
        <f t="shared" si="6"/>
        <v>0.87735849056603776</v>
      </c>
      <c r="AA12" s="1">
        <f t="shared" si="6"/>
        <v>0.87735849056603776</v>
      </c>
      <c r="AB12" s="1">
        <f t="shared" si="6"/>
        <v>0.8867924528301887</v>
      </c>
      <c r="AC12" s="1">
        <f t="shared" si="6"/>
        <v>0.8867924528301887</v>
      </c>
      <c r="AD12" s="3">
        <f t="shared" si="6"/>
        <v>0.87735849056603776</v>
      </c>
    </row>
    <row r="13" spans="1:30" x14ac:dyDescent="0.25">
      <c r="A13" t="s">
        <v>14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tabSelected="1" zoomScale="130" zoomScaleNormal="130" workbookViewId="0">
      <selection activeCell="T30" sqref="T30"/>
    </sheetView>
  </sheetViews>
  <sheetFormatPr baseColWidth="10" defaultRowHeight="15" x14ac:dyDescent="0.25"/>
  <cols>
    <col min="1" max="1" width="29.85546875" customWidth="1"/>
    <col min="2" max="2" width="6.5703125" style="1" customWidth="1"/>
    <col min="3" max="30" width="4.140625" style="1" customWidth="1"/>
  </cols>
  <sheetData>
    <row r="1" spans="1:30" x14ac:dyDescent="0.25">
      <c r="A1" t="s">
        <v>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18</v>
      </c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3</v>
      </c>
      <c r="H2" s="1">
        <v>3</v>
      </c>
      <c r="I2" s="1">
        <v>4</v>
      </c>
      <c r="J2" s="1">
        <v>4</v>
      </c>
      <c r="K2" s="1">
        <v>5</v>
      </c>
      <c r="L2" s="1">
        <v>4</v>
      </c>
      <c r="M2" s="1">
        <v>4</v>
      </c>
      <c r="N2" s="1">
        <v>6</v>
      </c>
      <c r="O2" s="1">
        <v>6</v>
      </c>
      <c r="P2" s="1">
        <v>4</v>
      </c>
      <c r="Q2" s="1">
        <v>5</v>
      </c>
      <c r="R2" s="1">
        <v>4</v>
      </c>
      <c r="S2" s="1">
        <v>5</v>
      </c>
      <c r="T2" s="1">
        <v>5</v>
      </c>
      <c r="U2" s="1">
        <v>6</v>
      </c>
      <c r="V2" s="1">
        <v>5</v>
      </c>
      <c r="W2" s="1">
        <v>4</v>
      </c>
      <c r="X2" s="1">
        <v>3</v>
      </c>
      <c r="Y2" s="1">
        <v>5</v>
      </c>
      <c r="Z2" s="1">
        <v>5</v>
      </c>
      <c r="AA2" s="1">
        <v>3</v>
      </c>
      <c r="AB2" s="1">
        <v>5</v>
      </c>
      <c r="AC2" s="1">
        <v>3</v>
      </c>
      <c r="AD2" s="1">
        <v>5</v>
      </c>
    </row>
    <row r="3" spans="1:30" x14ac:dyDescent="0.25">
      <c r="A3" t="s">
        <v>19</v>
      </c>
      <c r="B3" s="1">
        <v>34</v>
      </c>
      <c r="C3" s="1">
        <v>34</v>
      </c>
      <c r="D3" s="1">
        <v>34</v>
      </c>
      <c r="E3" s="1">
        <v>34</v>
      </c>
      <c r="F3" s="1">
        <v>33</v>
      </c>
      <c r="G3" s="1">
        <v>31</v>
      </c>
      <c r="H3" s="1">
        <v>31</v>
      </c>
      <c r="I3" s="1">
        <v>30</v>
      </c>
      <c r="J3" s="1">
        <v>30</v>
      </c>
      <c r="K3" s="1">
        <v>29</v>
      </c>
      <c r="L3" s="1">
        <v>30</v>
      </c>
      <c r="M3" s="1">
        <v>30</v>
      </c>
      <c r="N3" s="1">
        <v>28</v>
      </c>
      <c r="O3" s="1">
        <v>28</v>
      </c>
      <c r="P3" s="1">
        <v>30</v>
      </c>
      <c r="Q3" s="1">
        <v>29</v>
      </c>
      <c r="R3" s="1">
        <v>30</v>
      </c>
      <c r="S3" s="1">
        <v>29</v>
      </c>
      <c r="T3" s="1">
        <v>29</v>
      </c>
      <c r="U3" s="1">
        <v>28</v>
      </c>
      <c r="V3" s="1">
        <v>29</v>
      </c>
      <c r="W3" s="1">
        <v>30</v>
      </c>
      <c r="X3" s="1">
        <v>31</v>
      </c>
      <c r="Y3" s="1">
        <v>29</v>
      </c>
      <c r="Z3" s="1">
        <v>29</v>
      </c>
      <c r="AA3" s="1">
        <v>31</v>
      </c>
      <c r="AB3" s="1">
        <v>29</v>
      </c>
      <c r="AC3" s="1">
        <v>31</v>
      </c>
      <c r="AD3" s="1">
        <v>29</v>
      </c>
    </row>
    <row r="4" spans="1:30" x14ac:dyDescent="0.25">
      <c r="A4" t="s">
        <v>20</v>
      </c>
      <c r="B4" s="1">
        <v>0</v>
      </c>
      <c r="C4" s="1">
        <v>0</v>
      </c>
      <c r="D4" s="1">
        <v>0</v>
      </c>
      <c r="E4" s="1">
        <v>0</v>
      </c>
      <c r="F4" s="1">
        <v>3</v>
      </c>
      <c r="G4" s="1">
        <v>7</v>
      </c>
      <c r="H4" s="1">
        <v>7</v>
      </c>
      <c r="I4" s="1">
        <v>10</v>
      </c>
      <c r="J4" s="1">
        <v>7</v>
      </c>
      <c r="K4" s="1">
        <v>8</v>
      </c>
      <c r="L4" s="1">
        <v>6</v>
      </c>
      <c r="M4" s="1">
        <v>9</v>
      </c>
      <c r="N4" s="1">
        <v>14</v>
      </c>
      <c r="O4" s="1">
        <v>8</v>
      </c>
      <c r="P4" s="1">
        <v>6</v>
      </c>
      <c r="Q4" s="1">
        <v>5</v>
      </c>
      <c r="R4" s="1">
        <v>6</v>
      </c>
      <c r="S4" s="1">
        <v>5</v>
      </c>
      <c r="T4" s="1">
        <v>5</v>
      </c>
      <c r="U4" s="1">
        <v>10</v>
      </c>
      <c r="V4" s="1">
        <v>7</v>
      </c>
      <c r="W4" s="1">
        <v>8</v>
      </c>
      <c r="X4" s="1">
        <v>4</v>
      </c>
      <c r="Y4" s="1">
        <v>8</v>
      </c>
      <c r="Z4" s="1">
        <v>8</v>
      </c>
      <c r="AA4" s="1">
        <v>4</v>
      </c>
      <c r="AB4" s="1">
        <v>8</v>
      </c>
      <c r="AC4" s="1">
        <v>6</v>
      </c>
      <c r="AD4" s="1">
        <v>13</v>
      </c>
    </row>
    <row r="5" spans="1:30" x14ac:dyDescent="0.25">
      <c r="A5" t="s">
        <v>10</v>
      </c>
      <c r="B5" s="1">
        <v>166</v>
      </c>
      <c r="C5" s="1">
        <v>166</v>
      </c>
      <c r="D5" s="1">
        <v>166</v>
      </c>
      <c r="E5" s="1">
        <v>166</v>
      </c>
      <c r="F5" s="1">
        <v>163</v>
      </c>
      <c r="G5" s="1">
        <v>159</v>
      </c>
      <c r="H5" s="1">
        <v>159</v>
      </c>
      <c r="I5" s="1">
        <v>156</v>
      </c>
      <c r="J5" s="1">
        <v>159</v>
      </c>
      <c r="K5" s="1">
        <v>158</v>
      </c>
      <c r="L5" s="1">
        <v>160</v>
      </c>
      <c r="M5" s="1">
        <v>157</v>
      </c>
      <c r="N5" s="1">
        <v>152</v>
      </c>
      <c r="O5" s="1">
        <v>158</v>
      </c>
      <c r="P5" s="1">
        <v>160</v>
      </c>
      <c r="Q5" s="1">
        <v>161</v>
      </c>
      <c r="R5" s="1">
        <v>160</v>
      </c>
      <c r="S5" s="1">
        <v>161</v>
      </c>
      <c r="T5" s="1">
        <v>161</v>
      </c>
      <c r="U5" s="1">
        <v>156</v>
      </c>
      <c r="V5" s="1">
        <v>159</v>
      </c>
      <c r="W5" s="1">
        <v>158</v>
      </c>
      <c r="X5" s="1">
        <v>162</v>
      </c>
      <c r="Y5" s="1">
        <v>158</v>
      </c>
      <c r="Z5" s="1">
        <v>158</v>
      </c>
      <c r="AA5" s="1">
        <v>162</v>
      </c>
      <c r="AB5" s="1">
        <v>158</v>
      </c>
      <c r="AC5" s="1">
        <v>160</v>
      </c>
      <c r="AD5" s="1">
        <v>153</v>
      </c>
    </row>
    <row r="6" spans="1:30" x14ac:dyDescent="0.25">
      <c r="A6" t="s">
        <v>13</v>
      </c>
      <c r="B6" s="1">
        <f t="shared" ref="B6:AD6" si="0">SUM(B2:B5)</f>
        <v>200</v>
      </c>
      <c r="C6" s="1">
        <f t="shared" si="0"/>
        <v>200</v>
      </c>
      <c r="D6" s="1">
        <f t="shared" si="0"/>
        <v>200</v>
      </c>
      <c r="E6" s="1">
        <f t="shared" si="0"/>
        <v>200</v>
      </c>
      <c r="F6" s="1">
        <f t="shared" si="0"/>
        <v>200</v>
      </c>
      <c r="G6" s="1">
        <f t="shared" si="0"/>
        <v>200</v>
      </c>
      <c r="H6" s="1">
        <f t="shared" si="0"/>
        <v>200</v>
      </c>
      <c r="I6" s="1">
        <f t="shared" si="0"/>
        <v>200</v>
      </c>
      <c r="J6" s="1">
        <f t="shared" si="0"/>
        <v>200</v>
      </c>
      <c r="K6" s="1">
        <f t="shared" si="0"/>
        <v>200</v>
      </c>
      <c r="L6" s="1">
        <f t="shared" si="0"/>
        <v>200</v>
      </c>
      <c r="M6" s="1">
        <f t="shared" si="0"/>
        <v>200</v>
      </c>
      <c r="N6" s="1">
        <f t="shared" si="0"/>
        <v>200</v>
      </c>
      <c r="O6" s="1">
        <f t="shared" si="0"/>
        <v>200</v>
      </c>
      <c r="P6" s="1">
        <f t="shared" si="0"/>
        <v>200</v>
      </c>
      <c r="Q6" s="1">
        <f t="shared" si="0"/>
        <v>200</v>
      </c>
      <c r="R6" s="1">
        <f t="shared" si="0"/>
        <v>200</v>
      </c>
      <c r="S6" s="1">
        <f t="shared" si="0"/>
        <v>200</v>
      </c>
      <c r="T6" s="1">
        <f t="shared" si="0"/>
        <v>200</v>
      </c>
      <c r="U6" s="1">
        <f t="shared" si="0"/>
        <v>200</v>
      </c>
      <c r="V6" s="1">
        <f t="shared" si="0"/>
        <v>200</v>
      </c>
      <c r="W6" s="1">
        <f t="shared" si="0"/>
        <v>200</v>
      </c>
      <c r="X6" s="1">
        <f t="shared" si="0"/>
        <v>200</v>
      </c>
      <c r="Y6" s="1">
        <f t="shared" si="0"/>
        <v>200</v>
      </c>
      <c r="Z6" s="1">
        <f t="shared" si="0"/>
        <v>200</v>
      </c>
      <c r="AA6" s="1">
        <f t="shared" si="0"/>
        <v>200</v>
      </c>
      <c r="AB6" s="1">
        <f t="shared" si="0"/>
        <v>200</v>
      </c>
      <c r="AC6" s="1">
        <f t="shared" si="0"/>
        <v>200</v>
      </c>
      <c r="AD6" s="1">
        <f t="shared" si="0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1">(C5+C2)/C6</f>
        <v>0.83</v>
      </c>
      <c r="D7" s="1">
        <f t="shared" si="1"/>
        <v>0.83</v>
      </c>
      <c r="E7" s="1">
        <f t="shared" si="1"/>
        <v>0.83</v>
      </c>
      <c r="F7" s="1">
        <f t="shared" si="1"/>
        <v>0.82</v>
      </c>
      <c r="G7" s="1">
        <f t="shared" si="1"/>
        <v>0.81</v>
      </c>
      <c r="H7" s="1">
        <f t="shared" si="1"/>
        <v>0.81</v>
      </c>
      <c r="I7" s="1">
        <f t="shared" si="1"/>
        <v>0.8</v>
      </c>
      <c r="J7" s="1">
        <f t="shared" si="1"/>
        <v>0.81499999999999995</v>
      </c>
      <c r="K7" s="1">
        <f t="shared" si="1"/>
        <v>0.81499999999999995</v>
      </c>
      <c r="L7" s="1">
        <f t="shared" si="1"/>
        <v>0.82</v>
      </c>
      <c r="M7" s="1">
        <f t="shared" si="1"/>
        <v>0.80500000000000005</v>
      </c>
      <c r="N7" s="1">
        <f t="shared" si="1"/>
        <v>0.79</v>
      </c>
      <c r="O7" s="1">
        <f t="shared" si="1"/>
        <v>0.82</v>
      </c>
      <c r="P7" s="3">
        <f t="shared" si="1"/>
        <v>0.82</v>
      </c>
      <c r="Q7" s="1">
        <f t="shared" si="1"/>
        <v>0.83</v>
      </c>
      <c r="R7" s="1">
        <f t="shared" si="1"/>
        <v>0.82</v>
      </c>
      <c r="S7" s="1">
        <f t="shared" si="1"/>
        <v>0.83</v>
      </c>
      <c r="T7" s="1">
        <f t="shared" si="1"/>
        <v>0.83</v>
      </c>
      <c r="U7" s="1">
        <f t="shared" si="1"/>
        <v>0.81</v>
      </c>
      <c r="V7" s="1">
        <f t="shared" si="1"/>
        <v>0.82</v>
      </c>
      <c r="W7" s="1">
        <f t="shared" si="1"/>
        <v>0.81</v>
      </c>
      <c r="X7" s="1">
        <f t="shared" si="1"/>
        <v>0.82499999999999996</v>
      </c>
      <c r="Y7" s="1">
        <f t="shared" si="1"/>
        <v>0.81499999999999995</v>
      </c>
      <c r="Z7" s="1">
        <f t="shared" si="1"/>
        <v>0.81499999999999995</v>
      </c>
      <c r="AA7" s="1">
        <f t="shared" si="1"/>
        <v>0.82499999999999996</v>
      </c>
      <c r="AB7" s="1">
        <f t="shared" si="1"/>
        <v>0.81499999999999995</v>
      </c>
      <c r="AC7" s="1">
        <f t="shared" si="1"/>
        <v>0.81499999999999995</v>
      </c>
      <c r="AD7" s="3">
        <f t="shared" si="1"/>
        <v>0.79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2">1-C7</f>
        <v>0.17000000000000004</v>
      </c>
      <c r="D8" s="1">
        <f t="shared" si="2"/>
        <v>0.17000000000000004</v>
      </c>
      <c r="E8" s="1">
        <f t="shared" si="2"/>
        <v>0.17000000000000004</v>
      </c>
      <c r="F8" s="1">
        <f t="shared" si="2"/>
        <v>0.18000000000000005</v>
      </c>
      <c r="G8" s="1">
        <f t="shared" si="2"/>
        <v>0.18999999999999995</v>
      </c>
      <c r="H8" s="1">
        <f t="shared" si="2"/>
        <v>0.18999999999999995</v>
      </c>
      <c r="I8" s="1">
        <f t="shared" si="2"/>
        <v>0.19999999999999996</v>
      </c>
      <c r="J8" s="1">
        <f t="shared" si="2"/>
        <v>0.18500000000000005</v>
      </c>
      <c r="K8" s="1">
        <f t="shared" si="2"/>
        <v>0.18500000000000005</v>
      </c>
      <c r="L8" s="1">
        <f t="shared" si="2"/>
        <v>0.18000000000000005</v>
      </c>
      <c r="M8" s="1">
        <f t="shared" si="2"/>
        <v>0.19499999999999995</v>
      </c>
      <c r="N8" s="1">
        <f t="shared" si="2"/>
        <v>0.20999999999999996</v>
      </c>
      <c r="O8" s="1">
        <f t="shared" si="2"/>
        <v>0.18000000000000005</v>
      </c>
      <c r="P8" s="3">
        <f t="shared" si="2"/>
        <v>0.18000000000000005</v>
      </c>
      <c r="Q8" s="1">
        <f t="shared" si="2"/>
        <v>0.17000000000000004</v>
      </c>
      <c r="R8" s="1">
        <f t="shared" si="2"/>
        <v>0.18000000000000005</v>
      </c>
      <c r="S8" s="1">
        <f t="shared" si="2"/>
        <v>0.17000000000000004</v>
      </c>
      <c r="T8" s="1">
        <f t="shared" si="2"/>
        <v>0.17000000000000004</v>
      </c>
      <c r="U8" s="1">
        <f t="shared" si="2"/>
        <v>0.18999999999999995</v>
      </c>
      <c r="V8" s="1">
        <f t="shared" si="2"/>
        <v>0.18000000000000005</v>
      </c>
      <c r="W8" s="1">
        <f t="shared" si="2"/>
        <v>0.18999999999999995</v>
      </c>
      <c r="X8" s="1">
        <f t="shared" si="2"/>
        <v>0.17500000000000004</v>
      </c>
      <c r="Y8" s="1">
        <f t="shared" si="2"/>
        <v>0.18500000000000005</v>
      </c>
      <c r="Z8" s="1">
        <f t="shared" si="2"/>
        <v>0.18500000000000005</v>
      </c>
      <c r="AA8" s="1">
        <f t="shared" si="2"/>
        <v>0.17500000000000004</v>
      </c>
      <c r="AB8" s="1">
        <f t="shared" si="2"/>
        <v>0.18500000000000005</v>
      </c>
      <c r="AC8" s="1">
        <f t="shared" si="2"/>
        <v>0.18500000000000005</v>
      </c>
      <c r="AD8" s="3">
        <f t="shared" si="2"/>
        <v>0.20999999999999996</v>
      </c>
    </row>
    <row r="9" spans="1:30" x14ac:dyDescent="0.25">
      <c r="A9" t="s">
        <v>22</v>
      </c>
      <c r="B9" s="1">
        <f>B2/(B2+B3)</f>
        <v>0</v>
      </c>
      <c r="C9" s="1">
        <f t="shared" ref="C9:AD9" si="3">C2/(C2+C3)</f>
        <v>0</v>
      </c>
      <c r="D9" s="1">
        <f t="shared" si="3"/>
        <v>0</v>
      </c>
      <c r="E9" s="1">
        <f t="shared" si="3"/>
        <v>0</v>
      </c>
      <c r="F9" s="1">
        <f t="shared" si="3"/>
        <v>2.9411764705882353E-2</v>
      </c>
      <c r="G9" s="1">
        <f t="shared" si="3"/>
        <v>8.8235294117647065E-2</v>
      </c>
      <c r="H9" s="1">
        <f t="shared" si="3"/>
        <v>8.8235294117647065E-2</v>
      </c>
      <c r="I9" s="1">
        <f t="shared" si="3"/>
        <v>0.11764705882352941</v>
      </c>
      <c r="J9" s="1">
        <f t="shared" si="3"/>
        <v>0.11764705882352941</v>
      </c>
      <c r="K9" s="1">
        <f t="shared" si="3"/>
        <v>0.14705882352941177</v>
      </c>
      <c r="L9" s="1">
        <f t="shared" si="3"/>
        <v>0.11764705882352941</v>
      </c>
      <c r="M9" s="1">
        <f t="shared" si="3"/>
        <v>0.11764705882352941</v>
      </c>
      <c r="N9" s="1">
        <f t="shared" si="3"/>
        <v>0.17647058823529413</v>
      </c>
      <c r="O9" s="1">
        <f t="shared" si="3"/>
        <v>0.17647058823529413</v>
      </c>
      <c r="P9" s="3">
        <f t="shared" si="3"/>
        <v>0.11764705882352941</v>
      </c>
      <c r="Q9" s="1">
        <f t="shared" si="3"/>
        <v>0.14705882352941177</v>
      </c>
      <c r="R9" s="1">
        <f t="shared" si="3"/>
        <v>0.11764705882352941</v>
      </c>
      <c r="S9" s="1">
        <f t="shared" si="3"/>
        <v>0.14705882352941177</v>
      </c>
      <c r="T9" s="1">
        <f t="shared" si="3"/>
        <v>0.14705882352941177</v>
      </c>
      <c r="U9" s="1">
        <f t="shared" si="3"/>
        <v>0.17647058823529413</v>
      </c>
      <c r="V9" s="1">
        <f t="shared" si="3"/>
        <v>0.14705882352941177</v>
      </c>
      <c r="W9" s="1">
        <f t="shared" si="3"/>
        <v>0.11764705882352941</v>
      </c>
      <c r="X9" s="1">
        <f t="shared" si="3"/>
        <v>8.8235294117647065E-2</v>
      </c>
      <c r="Y9" s="1">
        <f t="shared" si="3"/>
        <v>0.14705882352941177</v>
      </c>
      <c r="Z9" s="1">
        <f t="shared" si="3"/>
        <v>0.14705882352941177</v>
      </c>
      <c r="AA9" s="1">
        <f t="shared" si="3"/>
        <v>8.8235294117647065E-2</v>
      </c>
      <c r="AB9" s="1">
        <f t="shared" si="3"/>
        <v>0.14705882352941177</v>
      </c>
      <c r="AC9" s="1">
        <f t="shared" si="3"/>
        <v>8.8235294117647065E-2</v>
      </c>
      <c r="AD9" s="3">
        <f t="shared" si="3"/>
        <v>0.14705882352941177</v>
      </c>
    </row>
    <row r="10" spans="1:30" x14ac:dyDescent="0.25">
      <c r="A10" t="s">
        <v>21</v>
      </c>
      <c r="B10" s="1" t="e">
        <f>B2/(B2+B4)</f>
        <v>#DIV/0!</v>
      </c>
      <c r="C10" s="1" t="e">
        <f t="shared" ref="C10:AD10" si="4">C2/(C2+C4)</f>
        <v>#DIV/0!</v>
      </c>
      <c r="D10" s="1" t="e">
        <f t="shared" si="4"/>
        <v>#DIV/0!</v>
      </c>
      <c r="E10" s="1" t="e">
        <f t="shared" si="4"/>
        <v>#DIV/0!</v>
      </c>
      <c r="F10" s="1">
        <f t="shared" si="4"/>
        <v>0.25</v>
      </c>
      <c r="G10" s="1">
        <f t="shared" si="4"/>
        <v>0.3</v>
      </c>
      <c r="H10" s="1">
        <f t="shared" si="4"/>
        <v>0.3</v>
      </c>
      <c r="I10" s="1">
        <f t="shared" si="4"/>
        <v>0.2857142857142857</v>
      </c>
      <c r="J10" s="1">
        <f t="shared" si="4"/>
        <v>0.36363636363636365</v>
      </c>
      <c r="K10" s="1">
        <f t="shared" si="4"/>
        <v>0.38461538461538464</v>
      </c>
      <c r="L10" s="1">
        <f t="shared" si="4"/>
        <v>0.4</v>
      </c>
      <c r="M10" s="1">
        <f t="shared" si="4"/>
        <v>0.30769230769230771</v>
      </c>
      <c r="N10" s="1">
        <f t="shared" si="4"/>
        <v>0.3</v>
      </c>
      <c r="O10" s="1">
        <f t="shared" si="4"/>
        <v>0.42857142857142855</v>
      </c>
      <c r="P10" s="3">
        <f t="shared" si="4"/>
        <v>0.4</v>
      </c>
      <c r="Q10" s="1">
        <f t="shared" si="4"/>
        <v>0.5</v>
      </c>
      <c r="R10" s="1">
        <f t="shared" si="4"/>
        <v>0.4</v>
      </c>
      <c r="S10" s="1">
        <f t="shared" si="4"/>
        <v>0.5</v>
      </c>
      <c r="T10" s="1">
        <f t="shared" si="4"/>
        <v>0.5</v>
      </c>
      <c r="U10" s="1">
        <f t="shared" si="4"/>
        <v>0.375</v>
      </c>
      <c r="V10" s="1">
        <f t="shared" si="4"/>
        <v>0.41666666666666669</v>
      </c>
      <c r="W10" s="1">
        <f t="shared" si="4"/>
        <v>0.33333333333333331</v>
      </c>
      <c r="X10" s="1">
        <f t="shared" si="4"/>
        <v>0.42857142857142855</v>
      </c>
      <c r="Y10" s="1">
        <f t="shared" si="4"/>
        <v>0.38461538461538464</v>
      </c>
      <c r="Z10" s="1">
        <f t="shared" si="4"/>
        <v>0.38461538461538464</v>
      </c>
      <c r="AA10" s="1">
        <f t="shared" si="4"/>
        <v>0.42857142857142855</v>
      </c>
      <c r="AB10" s="1">
        <f t="shared" si="4"/>
        <v>0.38461538461538464</v>
      </c>
      <c r="AC10" s="1">
        <f t="shared" si="4"/>
        <v>0.33333333333333331</v>
      </c>
      <c r="AD10" s="3">
        <f t="shared" si="4"/>
        <v>0.27777777777777779</v>
      </c>
    </row>
    <row r="11" spans="1:30" x14ac:dyDescent="0.25">
      <c r="A11" t="s">
        <v>11</v>
      </c>
      <c r="B11" s="1" t="e">
        <f>2*B9*B10/(B9+B10)</f>
        <v>#DIV/0!</v>
      </c>
      <c r="C11" s="1" t="e">
        <f t="shared" ref="C11:AD11" si="5">2*C9*C10/(C9+C10)</f>
        <v>#DIV/0!</v>
      </c>
      <c r="D11" s="1" t="e">
        <f t="shared" si="5"/>
        <v>#DIV/0!</v>
      </c>
      <c r="E11" s="1" t="e">
        <f t="shared" si="5"/>
        <v>#DIV/0!</v>
      </c>
      <c r="F11" s="1">
        <f t="shared" si="5"/>
        <v>5.2631578947368418E-2</v>
      </c>
      <c r="G11" s="1">
        <f t="shared" si="5"/>
        <v>0.13636363636363635</v>
      </c>
      <c r="H11" s="1">
        <f t="shared" si="5"/>
        <v>0.13636363636363635</v>
      </c>
      <c r="I11" s="1">
        <f t="shared" si="5"/>
        <v>0.16666666666666666</v>
      </c>
      <c r="J11" s="1">
        <f t="shared" si="5"/>
        <v>0.17777777777777776</v>
      </c>
      <c r="K11" s="1">
        <f t="shared" si="5"/>
        <v>0.21276595744680854</v>
      </c>
      <c r="L11" s="1">
        <f t="shared" si="5"/>
        <v>0.1818181818181818</v>
      </c>
      <c r="M11" s="1">
        <f t="shared" si="5"/>
        <v>0.1702127659574468</v>
      </c>
      <c r="N11" s="1">
        <f t="shared" si="5"/>
        <v>0.22222222222222224</v>
      </c>
      <c r="O11" s="1">
        <f t="shared" si="5"/>
        <v>0.25</v>
      </c>
      <c r="P11" s="3">
        <f t="shared" si="5"/>
        <v>0.1818181818181818</v>
      </c>
      <c r="Q11" s="1">
        <f t="shared" si="5"/>
        <v>0.22727272727272727</v>
      </c>
      <c r="R11" s="1">
        <f t="shared" si="5"/>
        <v>0.1818181818181818</v>
      </c>
      <c r="S11" s="1">
        <f t="shared" si="5"/>
        <v>0.22727272727272727</v>
      </c>
      <c r="T11" s="1">
        <f t="shared" si="5"/>
        <v>0.22727272727272727</v>
      </c>
      <c r="U11" s="1">
        <f t="shared" si="5"/>
        <v>0.24</v>
      </c>
      <c r="V11" s="1">
        <f t="shared" si="5"/>
        <v>0.21739130434782611</v>
      </c>
      <c r="W11" s="1">
        <f t="shared" si="5"/>
        <v>0.17391304347826089</v>
      </c>
      <c r="X11" s="1">
        <f t="shared" si="5"/>
        <v>0.14634146341463417</v>
      </c>
      <c r="Y11" s="1">
        <f t="shared" si="5"/>
        <v>0.21276595744680854</v>
      </c>
      <c r="Z11" s="1">
        <f t="shared" si="5"/>
        <v>0.21276595744680854</v>
      </c>
      <c r="AA11" s="1">
        <f t="shared" si="5"/>
        <v>0.14634146341463417</v>
      </c>
      <c r="AB11" s="1">
        <f t="shared" si="5"/>
        <v>0.21276595744680854</v>
      </c>
      <c r="AC11" s="1">
        <f t="shared" si="5"/>
        <v>0.13953488372093023</v>
      </c>
      <c r="AD11" s="3">
        <f t="shared" si="5"/>
        <v>0.19230769230769229</v>
      </c>
    </row>
    <row r="12" spans="1:30" x14ac:dyDescent="0.25">
      <c r="A12" t="s">
        <v>12</v>
      </c>
      <c r="B12" s="1">
        <f>B5/(B4+B5)</f>
        <v>1</v>
      </c>
      <c r="C12" s="1">
        <f t="shared" ref="C12:AD12" si="6">C5/(C4+C5)</f>
        <v>1</v>
      </c>
      <c r="D12" s="1">
        <f t="shared" si="6"/>
        <v>1</v>
      </c>
      <c r="E12" s="1">
        <f t="shared" si="6"/>
        <v>1</v>
      </c>
      <c r="F12" s="1">
        <f t="shared" si="6"/>
        <v>0.98192771084337349</v>
      </c>
      <c r="G12" s="1">
        <f t="shared" si="6"/>
        <v>0.95783132530120485</v>
      </c>
      <c r="H12" s="1">
        <f t="shared" si="6"/>
        <v>0.95783132530120485</v>
      </c>
      <c r="I12" s="1">
        <f t="shared" si="6"/>
        <v>0.93975903614457834</v>
      </c>
      <c r="J12" s="1">
        <f t="shared" si="6"/>
        <v>0.95783132530120485</v>
      </c>
      <c r="K12" s="1">
        <f t="shared" si="6"/>
        <v>0.95180722891566261</v>
      </c>
      <c r="L12" s="1">
        <f t="shared" si="6"/>
        <v>0.96385542168674698</v>
      </c>
      <c r="M12" s="1">
        <f t="shared" si="6"/>
        <v>0.94578313253012047</v>
      </c>
      <c r="N12" s="1">
        <f t="shared" si="6"/>
        <v>0.91566265060240959</v>
      </c>
      <c r="O12" s="1">
        <f t="shared" si="6"/>
        <v>0.95180722891566261</v>
      </c>
      <c r="P12" s="3">
        <f t="shared" si="6"/>
        <v>0.96385542168674698</v>
      </c>
      <c r="Q12" s="1">
        <f t="shared" si="6"/>
        <v>0.96987951807228912</v>
      </c>
      <c r="R12" s="1">
        <f t="shared" si="6"/>
        <v>0.96385542168674698</v>
      </c>
      <c r="S12" s="1">
        <f t="shared" si="6"/>
        <v>0.96987951807228912</v>
      </c>
      <c r="T12" s="1">
        <f t="shared" si="6"/>
        <v>0.96987951807228912</v>
      </c>
      <c r="U12" s="1">
        <f t="shared" si="6"/>
        <v>0.93975903614457834</v>
      </c>
      <c r="V12" s="1">
        <f t="shared" si="6"/>
        <v>0.95783132530120485</v>
      </c>
      <c r="W12" s="1">
        <f t="shared" si="6"/>
        <v>0.95180722891566261</v>
      </c>
      <c r="X12" s="1">
        <f t="shared" si="6"/>
        <v>0.97590361445783136</v>
      </c>
      <c r="Y12" s="1">
        <f t="shared" si="6"/>
        <v>0.95180722891566261</v>
      </c>
      <c r="Z12" s="1">
        <f t="shared" si="6"/>
        <v>0.95180722891566261</v>
      </c>
      <c r="AA12" s="1">
        <f t="shared" si="6"/>
        <v>0.97590361445783136</v>
      </c>
      <c r="AB12" s="1">
        <f t="shared" si="6"/>
        <v>0.95180722891566261</v>
      </c>
      <c r="AC12" s="1">
        <f t="shared" si="6"/>
        <v>0.96385542168674698</v>
      </c>
      <c r="AD12" s="3">
        <f t="shared" si="6"/>
        <v>0.92168674698795183</v>
      </c>
    </row>
    <row r="13" spans="1:30" x14ac:dyDescent="0.25">
      <c r="A13" t="s">
        <v>14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zoomScale="130" zoomScaleNormal="130" workbookViewId="0">
      <selection activeCell="B2" sqref="B2:AD5"/>
    </sheetView>
  </sheetViews>
  <sheetFormatPr baseColWidth="10" defaultRowHeight="15" x14ac:dyDescent="0.25"/>
  <cols>
    <col min="1" max="1" width="31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2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15</v>
      </c>
      <c r="B2" s="1">
        <v>68</v>
      </c>
      <c r="C2" s="1">
        <v>68</v>
      </c>
      <c r="D2" s="1">
        <v>68</v>
      </c>
      <c r="E2" s="1">
        <v>68</v>
      </c>
      <c r="F2" s="1">
        <v>65</v>
      </c>
      <c r="G2" s="1">
        <v>62</v>
      </c>
      <c r="H2" s="1">
        <v>62</v>
      </c>
      <c r="I2" s="1">
        <v>59</v>
      </c>
      <c r="J2" s="1">
        <v>60</v>
      </c>
      <c r="K2" s="1">
        <v>59</v>
      </c>
      <c r="L2" s="1">
        <v>61</v>
      </c>
      <c r="M2" s="1">
        <v>58</v>
      </c>
      <c r="N2" s="1">
        <v>56</v>
      </c>
      <c r="O2" s="1">
        <v>62</v>
      </c>
      <c r="P2" s="1">
        <v>62</v>
      </c>
      <c r="Q2" s="2">
        <v>63</v>
      </c>
      <c r="R2" s="1">
        <v>63</v>
      </c>
      <c r="S2" s="1">
        <v>63</v>
      </c>
      <c r="T2" s="1">
        <v>66</v>
      </c>
      <c r="U2" s="1">
        <v>61</v>
      </c>
      <c r="V2" s="1">
        <v>64</v>
      </c>
      <c r="W2" s="1">
        <v>63</v>
      </c>
      <c r="X2" s="1">
        <v>67</v>
      </c>
      <c r="Y2" s="1">
        <v>63</v>
      </c>
      <c r="Z2" s="1">
        <v>63</v>
      </c>
      <c r="AA2" s="1">
        <v>67</v>
      </c>
      <c r="AB2" s="1">
        <v>64</v>
      </c>
      <c r="AC2" s="1">
        <v>66</v>
      </c>
      <c r="AD2" s="1">
        <v>59</v>
      </c>
    </row>
    <row r="3" spans="1:30" x14ac:dyDescent="0.25">
      <c r="A3" t="s">
        <v>16</v>
      </c>
      <c r="B3" s="1">
        <v>4</v>
      </c>
      <c r="C3" s="1">
        <v>4</v>
      </c>
      <c r="D3" s="1">
        <v>4</v>
      </c>
      <c r="E3" s="1">
        <v>4</v>
      </c>
      <c r="F3" s="1">
        <v>7</v>
      </c>
      <c r="G3" s="1">
        <v>10</v>
      </c>
      <c r="H3" s="1">
        <v>10</v>
      </c>
      <c r="I3" s="1">
        <v>13</v>
      </c>
      <c r="J3" s="1">
        <v>12</v>
      </c>
      <c r="K3" s="1">
        <v>13</v>
      </c>
      <c r="L3" s="1">
        <v>11</v>
      </c>
      <c r="M3" s="1">
        <v>14</v>
      </c>
      <c r="N3" s="1">
        <v>16</v>
      </c>
      <c r="O3" s="1">
        <v>10</v>
      </c>
      <c r="P3" s="1">
        <v>10</v>
      </c>
      <c r="Q3" s="2">
        <v>9</v>
      </c>
      <c r="R3" s="1">
        <v>9</v>
      </c>
      <c r="S3" s="1">
        <v>9</v>
      </c>
      <c r="T3" s="1">
        <v>6</v>
      </c>
      <c r="U3" s="1">
        <v>11</v>
      </c>
      <c r="V3" s="1">
        <v>8</v>
      </c>
      <c r="W3" s="1">
        <v>9</v>
      </c>
      <c r="X3" s="1">
        <v>5</v>
      </c>
      <c r="Y3" s="1">
        <v>9</v>
      </c>
      <c r="Z3" s="1">
        <v>9</v>
      </c>
      <c r="AA3" s="1">
        <v>5</v>
      </c>
      <c r="AB3" s="1">
        <v>8</v>
      </c>
      <c r="AC3" s="1">
        <v>6</v>
      </c>
      <c r="AD3" s="1">
        <v>13</v>
      </c>
    </row>
    <row r="4" spans="1:30" x14ac:dyDescent="0.25">
      <c r="A4" t="s">
        <v>17</v>
      </c>
      <c r="B4" s="1">
        <v>26</v>
      </c>
      <c r="C4" s="1">
        <v>26</v>
      </c>
      <c r="D4" s="1">
        <v>26</v>
      </c>
      <c r="E4" s="1">
        <v>26</v>
      </c>
      <c r="F4" s="1">
        <v>23</v>
      </c>
      <c r="G4" s="1">
        <v>22</v>
      </c>
      <c r="H4" s="1">
        <v>21</v>
      </c>
      <c r="I4" s="1">
        <v>19</v>
      </c>
      <c r="J4" s="1">
        <v>14</v>
      </c>
      <c r="K4" s="1">
        <v>14</v>
      </c>
      <c r="L4" s="1">
        <v>14</v>
      </c>
      <c r="M4" s="1">
        <v>15</v>
      </c>
      <c r="N4" s="1">
        <v>14</v>
      </c>
      <c r="O4" s="1">
        <v>13</v>
      </c>
      <c r="P4" s="1">
        <v>15</v>
      </c>
      <c r="Q4" s="2">
        <v>15</v>
      </c>
      <c r="R4" s="1">
        <v>17</v>
      </c>
      <c r="S4" s="1">
        <v>16</v>
      </c>
      <c r="T4" s="1">
        <v>18</v>
      </c>
      <c r="U4" s="1">
        <v>17</v>
      </c>
      <c r="V4" s="1">
        <v>17</v>
      </c>
      <c r="W4" s="1">
        <v>18</v>
      </c>
      <c r="X4" s="1">
        <v>19</v>
      </c>
      <c r="Y4" s="1">
        <v>18</v>
      </c>
      <c r="Z4" s="1">
        <v>18</v>
      </c>
      <c r="AA4" s="1">
        <v>20</v>
      </c>
      <c r="AB4" s="1">
        <v>19</v>
      </c>
      <c r="AC4" s="1">
        <v>21</v>
      </c>
      <c r="AD4" s="1">
        <v>18</v>
      </c>
    </row>
    <row r="5" spans="1:30" x14ac:dyDescent="0.25">
      <c r="A5" t="s">
        <v>10</v>
      </c>
      <c r="B5" s="1">
        <v>102</v>
      </c>
      <c r="C5" s="1">
        <v>102</v>
      </c>
      <c r="D5" s="1">
        <v>102</v>
      </c>
      <c r="E5" s="1">
        <v>102</v>
      </c>
      <c r="F5" s="1">
        <v>105</v>
      </c>
      <c r="G5" s="1">
        <v>106</v>
      </c>
      <c r="H5" s="1">
        <v>107</v>
      </c>
      <c r="I5" s="1">
        <v>109</v>
      </c>
      <c r="J5" s="1">
        <v>114</v>
      </c>
      <c r="K5" s="1">
        <v>114</v>
      </c>
      <c r="L5" s="1">
        <v>114</v>
      </c>
      <c r="M5" s="1">
        <v>113</v>
      </c>
      <c r="N5" s="1">
        <v>114</v>
      </c>
      <c r="O5" s="1">
        <v>115</v>
      </c>
      <c r="P5" s="1">
        <v>113</v>
      </c>
      <c r="Q5" s="2">
        <v>113</v>
      </c>
      <c r="R5" s="1">
        <v>111</v>
      </c>
      <c r="S5" s="1">
        <v>112</v>
      </c>
      <c r="T5" s="1">
        <v>110</v>
      </c>
      <c r="U5" s="1">
        <v>111</v>
      </c>
      <c r="V5" s="1">
        <v>111</v>
      </c>
      <c r="W5" s="1">
        <v>110</v>
      </c>
      <c r="X5" s="1">
        <v>109</v>
      </c>
      <c r="Y5" s="1">
        <v>110</v>
      </c>
      <c r="Z5" s="1">
        <v>110</v>
      </c>
      <c r="AA5" s="1">
        <v>108</v>
      </c>
      <c r="AB5" s="1">
        <v>109</v>
      </c>
      <c r="AC5" s="1">
        <v>107</v>
      </c>
      <c r="AD5" s="1">
        <v>110</v>
      </c>
    </row>
    <row r="6" spans="1:30" x14ac:dyDescent="0.25">
      <c r="A6" t="s">
        <v>13</v>
      </c>
      <c r="B6" s="1">
        <f t="shared" ref="B6:AD6" si="0">SUM(B2:B5)</f>
        <v>200</v>
      </c>
      <c r="C6" s="1">
        <f t="shared" si="0"/>
        <v>200</v>
      </c>
      <c r="D6" s="1">
        <f t="shared" si="0"/>
        <v>200</v>
      </c>
      <c r="E6" s="1">
        <f t="shared" si="0"/>
        <v>200</v>
      </c>
      <c r="F6" s="1">
        <f t="shared" si="0"/>
        <v>200</v>
      </c>
      <c r="G6" s="1">
        <f t="shared" si="0"/>
        <v>200</v>
      </c>
      <c r="H6" s="1">
        <f t="shared" si="0"/>
        <v>200</v>
      </c>
      <c r="I6" s="1">
        <f t="shared" si="0"/>
        <v>200</v>
      </c>
      <c r="J6" s="1">
        <f t="shared" si="0"/>
        <v>200</v>
      </c>
      <c r="K6" s="1">
        <f t="shared" si="0"/>
        <v>200</v>
      </c>
      <c r="L6" s="1">
        <f t="shared" si="0"/>
        <v>200</v>
      </c>
      <c r="M6" s="1">
        <f t="shared" si="0"/>
        <v>200</v>
      </c>
      <c r="N6" s="1">
        <f t="shared" si="0"/>
        <v>200</v>
      </c>
      <c r="O6" s="1">
        <f t="shared" si="0"/>
        <v>200</v>
      </c>
      <c r="P6" s="1">
        <f t="shared" si="0"/>
        <v>200</v>
      </c>
      <c r="Q6" s="2">
        <f t="shared" si="0"/>
        <v>200</v>
      </c>
      <c r="R6" s="1">
        <f t="shared" si="0"/>
        <v>200</v>
      </c>
      <c r="S6" s="1">
        <f t="shared" si="0"/>
        <v>200</v>
      </c>
      <c r="T6" s="1">
        <f t="shared" si="0"/>
        <v>200</v>
      </c>
      <c r="U6" s="1">
        <f t="shared" si="0"/>
        <v>200</v>
      </c>
      <c r="V6" s="1">
        <f t="shared" si="0"/>
        <v>200</v>
      </c>
      <c r="W6" s="1">
        <f t="shared" si="0"/>
        <v>200</v>
      </c>
      <c r="X6" s="1">
        <f t="shared" si="0"/>
        <v>200</v>
      </c>
      <c r="Y6" s="1">
        <f t="shared" si="0"/>
        <v>200</v>
      </c>
      <c r="Z6" s="1">
        <f t="shared" si="0"/>
        <v>200</v>
      </c>
      <c r="AA6" s="1">
        <f t="shared" si="0"/>
        <v>200</v>
      </c>
      <c r="AB6" s="1">
        <f t="shared" si="0"/>
        <v>200</v>
      </c>
      <c r="AC6" s="1">
        <f t="shared" si="0"/>
        <v>200</v>
      </c>
      <c r="AD6" s="1">
        <f t="shared" si="0"/>
        <v>200</v>
      </c>
    </row>
    <row r="7" spans="1:30" x14ac:dyDescent="0.25">
      <c r="A7" t="s">
        <v>0</v>
      </c>
      <c r="B7" s="1">
        <f>(B5+B2)/B6</f>
        <v>0.85</v>
      </c>
      <c r="C7" s="1">
        <f t="shared" ref="C7:AD7" si="1">(C5+C2)/C6</f>
        <v>0.85</v>
      </c>
      <c r="D7" s="1">
        <f t="shared" si="1"/>
        <v>0.85</v>
      </c>
      <c r="E7" s="1">
        <f t="shared" si="1"/>
        <v>0.85</v>
      </c>
      <c r="F7" s="1">
        <f t="shared" si="1"/>
        <v>0.85</v>
      </c>
      <c r="G7" s="1">
        <f t="shared" si="1"/>
        <v>0.84</v>
      </c>
      <c r="H7" s="1">
        <f t="shared" si="1"/>
        <v>0.84499999999999997</v>
      </c>
      <c r="I7" s="3">
        <f t="shared" si="1"/>
        <v>0.84</v>
      </c>
      <c r="J7" s="1">
        <f t="shared" si="1"/>
        <v>0.87</v>
      </c>
      <c r="K7" s="1">
        <f t="shared" si="1"/>
        <v>0.86499999999999999</v>
      </c>
      <c r="L7" s="1">
        <f t="shared" si="1"/>
        <v>0.875</v>
      </c>
      <c r="M7" s="1">
        <f t="shared" si="1"/>
        <v>0.85499999999999998</v>
      </c>
      <c r="N7" s="1">
        <f t="shared" si="1"/>
        <v>0.85</v>
      </c>
      <c r="O7" s="1">
        <f t="shared" si="1"/>
        <v>0.88500000000000001</v>
      </c>
      <c r="P7" s="1">
        <f t="shared" si="1"/>
        <v>0.875</v>
      </c>
      <c r="Q7" s="2">
        <f t="shared" si="1"/>
        <v>0.88</v>
      </c>
      <c r="R7" s="1">
        <f t="shared" si="1"/>
        <v>0.87</v>
      </c>
      <c r="S7" s="1">
        <f t="shared" si="1"/>
        <v>0.875</v>
      </c>
      <c r="T7" s="1">
        <f t="shared" si="1"/>
        <v>0.88</v>
      </c>
      <c r="U7" s="1">
        <f t="shared" si="1"/>
        <v>0.86</v>
      </c>
      <c r="V7" s="1">
        <f t="shared" si="1"/>
        <v>0.875</v>
      </c>
      <c r="W7" s="1">
        <f t="shared" si="1"/>
        <v>0.86499999999999999</v>
      </c>
      <c r="X7" s="1">
        <f t="shared" si="1"/>
        <v>0.88</v>
      </c>
      <c r="Y7" s="1">
        <f t="shared" si="1"/>
        <v>0.86499999999999999</v>
      </c>
      <c r="Z7" s="1">
        <f t="shared" si="1"/>
        <v>0.86499999999999999</v>
      </c>
      <c r="AA7" s="1">
        <f t="shared" si="1"/>
        <v>0.875</v>
      </c>
      <c r="AB7" s="1">
        <f t="shared" si="1"/>
        <v>0.86499999999999999</v>
      </c>
      <c r="AC7" s="1">
        <f t="shared" si="1"/>
        <v>0.86499999999999999</v>
      </c>
      <c r="AD7" s="3">
        <f t="shared" si="1"/>
        <v>0.84499999999999997</v>
      </c>
    </row>
    <row r="8" spans="1:30" x14ac:dyDescent="0.25">
      <c r="A8" t="s">
        <v>1</v>
      </c>
      <c r="B8" s="1">
        <f>1-B7</f>
        <v>0.15000000000000002</v>
      </c>
      <c r="C8" s="1">
        <f t="shared" ref="C8:AD8" si="2">1-C7</f>
        <v>0.15000000000000002</v>
      </c>
      <c r="D8" s="1">
        <f t="shared" si="2"/>
        <v>0.15000000000000002</v>
      </c>
      <c r="E8" s="1">
        <f t="shared" si="2"/>
        <v>0.15000000000000002</v>
      </c>
      <c r="F8" s="1">
        <f t="shared" si="2"/>
        <v>0.15000000000000002</v>
      </c>
      <c r="G8" s="1">
        <f t="shared" si="2"/>
        <v>0.16000000000000003</v>
      </c>
      <c r="H8" s="1">
        <f t="shared" si="2"/>
        <v>0.15500000000000003</v>
      </c>
      <c r="I8" s="3">
        <f t="shared" si="2"/>
        <v>0.16000000000000003</v>
      </c>
      <c r="J8" s="1">
        <f t="shared" si="2"/>
        <v>0.13</v>
      </c>
      <c r="K8" s="1">
        <f t="shared" si="2"/>
        <v>0.13500000000000001</v>
      </c>
      <c r="L8" s="1">
        <f t="shared" si="2"/>
        <v>0.125</v>
      </c>
      <c r="M8" s="1">
        <f t="shared" si="2"/>
        <v>0.14500000000000002</v>
      </c>
      <c r="N8" s="1">
        <f t="shared" si="2"/>
        <v>0.15000000000000002</v>
      </c>
      <c r="O8" s="1">
        <f t="shared" si="2"/>
        <v>0.11499999999999999</v>
      </c>
      <c r="P8" s="1">
        <f t="shared" si="2"/>
        <v>0.125</v>
      </c>
      <c r="Q8" s="2">
        <f t="shared" si="2"/>
        <v>0.12</v>
      </c>
      <c r="R8" s="1">
        <f t="shared" si="2"/>
        <v>0.13</v>
      </c>
      <c r="S8" s="1">
        <f t="shared" si="2"/>
        <v>0.125</v>
      </c>
      <c r="T8" s="1">
        <f t="shared" si="2"/>
        <v>0.12</v>
      </c>
      <c r="U8" s="1">
        <f t="shared" si="2"/>
        <v>0.14000000000000001</v>
      </c>
      <c r="V8" s="1">
        <f t="shared" si="2"/>
        <v>0.125</v>
      </c>
      <c r="W8" s="1">
        <f t="shared" si="2"/>
        <v>0.13500000000000001</v>
      </c>
      <c r="X8" s="1">
        <f t="shared" si="2"/>
        <v>0.12</v>
      </c>
      <c r="Y8" s="1">
        <f t="shared" si="2"/>
        <v>0.13500000000000001</v>
      </c>
      <c r="Z8" s="1">
        <f t="shared" si="2"/>
        <v>0.13500000000000001</v>
      </c>
      <c r="AA8" s="1">
        <f t="shared" si="2"/>
        <v>0.125</v>
      </c>
      <c r="AB8" s="1">
        <f t="shared" si="2"/>
        <v>0.13500000000000001</v>
      </c>
      <c r="AC8" s="1">
        <f t="shared" si="2"/>
        <v>0.13500000000000001</v>
      </c>
      <c r="AD8" s="3">
        <f t="shared" si="2"/>
        <v>0.15500000000000003</v>
      </c>
    </row>
    <row r="9" spans="1:30" x14ac:dyDescent="0.25">
      <c r="A9" t="s">
        <v>22</v>
      </c>
      <c r="B9" s="1">
        <f>B2/(B2+B3)</f>
        <v>0.94444444444444442</v>
      </c>
      <c r="C9" s="1">
        <f t="shared" ref="C9:AD9" si="3">C2/(C2+C3)</f>
        <v>0.94444444444444442</v>
      </c>
      <c r="D9" s="1">
        <f t="shared" si="3"/>
        <v>0.94444444444444442</v>
      </c>
      <c r="E9" s="1">
        <f t="shared" si="3"/>
        <v>0.94444444444444442</v>
      </c>
      <c r="F9" s="1">
        <f t="shared" si="3"/>
        <v>0.90277777777777779</v>
      </c>
      <c r="G9" s="1">
        <f t="shared" si="3"/>
        <v>0.86111111111111116</v>
      </c>
      <c r="H9" s="1">
        <f t="shared" si="3"/>
        <v>0.86111111111111116</v>
      </c>
      <c r="I9" s="3">
        <f t="shared" si="3"/>
        <v>0.81944444444444442</v>
      </c>
      <c r="J9" s="1">
        <f t="shared" si="3"/>
        <v>0.83333333333333337</v>
      </c>
      <c r="K9" s="1">
        <f t="shared" si="3"/>
        <v>0.81944444444444442</v>
      </c>
      <c r="L9" s="1">
        <f t="shared" si="3"/>
        <v>0.84722222222222221</v>
      </c>
      <c r="M9" s="1">
        <f t="shared" si="3"/>
        <v>0.80555555555555558</v>
      </c>
      <c r="N9" s="1">
        <f t="shared" si="3"/>
        <v>0.77777777777777779</v>
      </c>
      <c r="O9" s="1">
        <f t="shared" si="3"/>
        <v>0.86111111111111116</v>
      </c>
      <c r="P9" s="1">
        <f t="shared" si="3"/>
        <v>0.86111111111111116</v>
      </c>
      <c r="Q9" s="2">
        <f t="shared" si="3"/>
        <v>0.875</v>
      </c>
      <c r="R9" s="1">
        <f t="shared" si="3"/>
        <v>0.875</v>
      </c>
      <c r="S9" s="1">
        <f t="shared" si="3"/>
        <v>0.875</v>
      </c>
      <c r="T9" s="1">
        <f t="shared" si="3"/>
        <v>0.91666666666666663</v>
      </c>
      <c r="U9" s="1">
        <f t="shared" si="3"/>
        <v>0.84722222222222221</v>
      </c>
      <c r="V9" s="1">
        <f t="shared" si="3"/>
        <v>0.88888888888888884</v>
      </c>
      <c r="W9" s="1">
        <f t="shared" si="3"/>
        <v>0.875</v>
      </c>
      <c r="X9" s="1">
        <f t="shared" si="3"/>
        <v>0.93055555555555558</v>
      </c>
      <c r="Y9" s="1">
        <f t="shared" si="3"/>
        <v>0.875</v>
      </c>
      <c r="Z9" s="1">
        <f t="shared" si="3"/>
        <v>0.875</v>
      </c>
      <c r="AA9" s="1">
        <f t="shared" si="3"/>
        <v>0.93055555555555558</v>
      </c>
      <c r="AB9" s="1">
        <f t="shared" si="3"/>
        <v>0.88888888888888884</v>
      </c>
      <c r="AC9" s="1">
        <f t="shared" si="3"/>
        <v>0.91666666666666663</v>
      </c>
      <c r="AD9" s="3">
        <f t="shared" si="3"/>
        <v>0.81944444444444442</v>
      </c>
    </row>
    <row r="10" spans="1:30" x14ac:dyDescent="0.25">
      <c r="A10" t="s">
        <v>21</v>
      </c>
      <c r="B10" s="1">
        <f>B2/(B2+B4)</f>
        <v>0.72340425531914898</v>
      </c>
      <c r="C10" s="1">
        <f t="shared" ref="C10:AD10" si="4">C2/(C2+C4)</f>
        <v>0.72340425531914898</v>
      </c>
      <c r="D10" s="1">
        <f t="shared" si="4"/>
        <v>0.72340425531914898</v>
      </c>
      <c r="E10" s="1">
        <f t="shared" si="4"/>
        <v>0.72340425531914898</v>
      </c>
      <c r="F10" s="1">
        <f t="shared" si="4"/>
        <v>0.73863636363636365</v>
      </c>
      <c r="G10" s="1">
        <f t="shared" si="4"/>
        <v>0.73809523809523814</v>
      </c>
      <c r="H10" s="1">
        <f t="shared" si="4"/>
        <v>0.74698795180722888</v>
      </c>
      <c r="I10" s="3">
        <f t="shared" si="4"/>
        <v>0.75641025641025639</v>
      </c>
      <c r="J10" s="1">
        <f t="shared" si="4"/>
        <v>0.81081081081081086</v>
      </c>
      <c r="K10" s="1">
        <f t="shared" si="4"/>
        <v>0.80821917808219179</v>
      </c>
      <c r="L10" s="1">
        <f t="shared" si="4"/>
        <v>0.81333333333333335</v>
      </c>
      <c r="M10" s="1">
        <f t="shared" si="4"/>
        <v>0.79452054794520544</v>
      </c>
      <c r="N10" s="1">
        <f t="shared" si="4"/>
        <v>0.8</v>
      </c>
      <c r="O10" s="1">
        <f t="shared" si="4"/>
        <v>0.82666666666666666</v>
      </c>
      <c r="P10" s="1">
        <f t="shared" si="4"/>
        <v>0.80519480519480524</v>
      </c>
      <c r="Q10" s="2">
        <f t="shared" si="4"/>
        <v>0.80769230769230771</v>
      </c>
      <c r="R10" s="1">
        <f t="shared" si="4"/>
        <v>0.78749999999999998</v>
      </c>
      <c r="S10" s="1">
        <f t="shared" si="4"/>
        <v>0.79746835443037978</v>
      </c>
      <c r="T10" s="1">
        <f t="shared" si="4"/>
        <v>0.7857142857142857</v>
      </c>
      <c r="U10" s="1">
        <f t="shared" si="4"/>
        <v>0.78205128205128205</v>
      </c>
      <c r="V10" s="1">
        <f t="shared" si="4"/>
        <v>0.79012345679012341</v>
      </c>
      <c r="W10" s="1">
        <f t="shared" si="4"/>
        <v>0.77777777777777779</v>
      </c>
      <c r="X10" s="1">
        <f t="shared" si="4"/>
        <v>0.77906976744186052</v>
      </c>
      <c r="Y10" s="1">
        <f t="shared" si="4"/>
        <v>0.77777777777777779</v>
      </c>
      <c r="Z10" s="1">
        <f t="shared" si="4"/>
        <v>0.77777777777777779</v>
      </c>
      <c r="AA10" s="1">
        <f t="shared" si="4"/>
        <v>0.77011494252873558</v>
      </c>
      <c r="AB10" s="1">
        <f t="shared" si="4"/>
        <v>0.77108433734939763</v>
      </c>
      <c r="AC10" s="1">
        <f t="shared" si="4"/>
        <v>0.75862068965517238</v>
      </c>
      <c r="AD10" s="3">
        <f t="shared" si="4"/>
        <v>0.76623376623376627</v>
      </c>
    </row>
    <row r="11" spans="1:30" x14ac:dyDescent="0.25">
      <c r="A11" t="s">
        <v>11</v>
      </c>
      <c r="B11" s="1">
        <f>2*B9*B10/(B9+B10)</f>
        <v>0.81927710843373491</v>
      </c>
      <c r="C11" s="1">
        <f t="shared" ref="C11:AD11" si="5">2*C9*C10/(C9+C10)</f>
        <v>0.81927710843373491</v>
      </c>
      <c r="D11" s="1">
        <f t="shared" si="5"/>
        <v>0.81927710843373491</v>
      </c>
      <c r="E11" s="1">
        <f t="shared" si="5"/>
        <v>0.81927710843373491</v>
      </c>
      <c r="F11" s="1">
        <f t="shared" si="5"/>
        <v>0.8125</v>
      </c>
      <c r="G11" s="1">
        <f t="shared" si="5"/>
        <v>0.79487179487179493</v>
      </c>
      <c r="H11" s="1">
        <f t="shared" si="5"/>
        <v>0.8</v>
      </c>
      <c r="I11" s="3">
        <f t="shared" si="5"/>
        <v>0.78666666666666663</v>
      </c>
      <c r="J11" s="1">
        <f t="shared" si="5"/>
        <v>0.82191780821917815</v>
      </c>
      <c r="K11" s="1">
        <f t="shared" si="5"/>
        <v>0.81379310344827593</v>
      </c>
      <c r="L11" s="1">
        <f t="shared" si="5"/>
        <v>0.82993197278911568</v>
      </c>
      <c r="M11" s="1">
        <f t="shared" si="5"/>
        <v>0.8</v>
      </c>
      <c r="N11" s="1">
        <f t="shared" si="5"/>
        <v>0.78873239436619713</v>
      </c>
      <c r="O11" s="1">
        <f t="shared" si="5"/>
        <v>0.84353741496598633</v>
      </c>
      <c r="P11" s="1">
        <f t="shared" si="5"/>
        <v>0.83221476510067116</v>
      </c>
      <c r="Q11" s="2">
        <f t="shared" si="5"/>
        <v>0.84000000000000008</v>
      </c>
      <c r="R11" s="1">
        <f t="shared" si="5"/>
        <v>0.82894736842105265</v>
      </c>
      <c r="S11" s="1">
        <f t="shared" si="5"/>
        <v>0.83443708609271527</v>
      </c>
      <c r="T11" s="1">
        <f t="shared" si="5"/>
        <v>0.84615384615384615</v>
      </c>
      <c r="U11" s="1">
        <f t="shared" si="5"/>
        <v>0.81333333333333324</v>
      </c>
      <c r="V11" s="1">
        <f t="shared" si="5"/>
        <v>0.83660130718954251</v>
      </c>
      <c r="W11" s="1">
        <f t="shared" si="5"/>
        <v>0.82352941176470595</v>
      </c>
      <c r="X11" s="1">
        <f t="shared" si="5"/>
        <v>0.84810126582278478</v>
      </c>
      <c r="Y11" s="1">
        <f t="shared" si="5"/>
        <v>0.82352941176470595</v>
      </c>
      <c r="Z11" s="1">
        <f t="shared" si="5"/>
        <v>0.82352941176470595</v>
      </c>
      <c r="AA11" s="1">
        <f t="shared" si="5"/>
        <v>0.8427672955974842</v>
      </c>
      <c r="AB11" s="1">
        <f t="shared" si="5"/>
        <v>0.82580645161290323</v>
      </c>
      <c r="AC11" s="1">
        <f t="shared" si="5"/>
        <v>0.83018867924528295</v>
      </c>
      <c r="AD11" s="3">
        <f t="shared" si="5"/>
        <v>0.79194630872483229</v>
      </c>
    </row>
    <row r="12" spans="1:30" x14ac:dyDescent="0.25">
      <c r="A12" t="s">
        <v>12</v>
      </c>
      <c r="B12" s="1">
        <f>B5/(B4+B5)</f>
        <v>0.796875</v>
      </c>
      <c r="C12" s="1">
        <f t="shared" ref="C12:AD12" si="6">C5/(C4+C5)</f>
        <v>0.796875</v>
      </c>
      <c r="D12" s="1">
        <f t="shared" si="6"/>
        <v>0.796875</v>
      </c>
      <c r="E12" s="1">
        <f t="shared" si="6"/>
        <v>0.796875</v>
      </c>
      <c r="F12" s="1">
        <f t="shared" si="6"/>
        <v>0.8203125</v>
      </c>
      <c r="G12" s="1">
        <f t="shared" si="6"/>
        <v>0.828125</v>
      </c>
      <c r="H12" s="1">
        <f t="shared" si="6"/>
        <v>0.8359375</v>
      </c>
      <c r="I12" s="3">
        <f t="shared" si="6"/>
        <v>0.8515625</v>
      </c>
      <c r="J12" s="1">
        <f t="shared" si="6"/>
        <v>0.890625</v>
      </c>
      <c r="K12" s="1">
        <f t="shared" si="6"/>
        <v>0.890625</v>
      </c>
      <c r="L12" s="1">
        <f t="shared" si="6"/>
        <v>0.890625</v>
      </c>
      <c r="M12" s="1">
        <f t="shared" si="6"/>
        <v>0.8828125</v>
      </c>
      <c r="N12" s="1">
        <f t="shared" si="6"/>
        <v>0.890625</v>
      </c>
      <c r="O12" s="1">
        <f t="shared" si="6"/>
        <v>0.8984375</v>
      </c>
      <c r="P12" s="1">
        <f t="shared" si="6"/>
        <v>0.8828125</v>
      </c>
      <c r="Q12" s="2">
        <f t="shared" si="6"/>
        <v>0.8828125</v>
      </c>
      <c r="R12" s="1">
        <f t="shared" si="6"/>
        <v>0.8671875</v>
      </c>
      <c r="S12" s="1">
        <f t="shared" si="6"/>
        <v>0.875</v>
      </c>
      <c r="T12" s="1">
        <f t="shared" si="6"/>
        <v>0.859375</v>
      </c>
      <c r="U12" s="1">
        <f t="shared" si="6"/>
        <v>0.8671875</v>
      </c>
      <c r="V12" s="1">
        <f t="shared" si="6"/>
        <v>0.8671875</v>
      </c>
      <c r="W12" s="1">
        <f t="shared" si="6"/>
        <v>0.859375</v>
      </c>
      <c r="X12" s="1">
        <f t="shared" si="6"/>
        <v>0.8515625</v>
      </c>
      <c r="Y12" s="1">
        <f t="shared" si="6"/>
        <v>0.859375</v>
      </c>
      <c r="Z12" s="1">
        <f t="shared" si="6"/>
        <v>0.859375</v>
      </c>
      <c r="AA12" s="1">
        <f t="shared" si="6"/>
        <v>0.84375</v>
      </c>
      <c r="AB12" s="1">
        <f t="shared" si="6"/>
        <v>0.8515625</v>
      </c>
      <c r="AC12" s="1">
        <f t="shared" si="6"/>
        <v>0.8359375</v>
      </c>
      <c r="AD12" s="3">
        <f t="shared" si="6"/>
        <v>0.859375</v>
      </c>
    </row>
    <row r="13" spans="1:30" x14ac:dyDescent="0.25">
      <c r="A13" t="s">
        <v>14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3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2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15A1-AAE4-414B-87B7-C1A5BC427D95}">
  <dimension ref="A1:AH201"/>
  <sheetViews>
    <sheetView zoomScale="70" zoomScaleNormal="70" workbookViewId="0">
      <selection activeCell="R25" sqref="R25"/>
    </sheetView>
  </sheetViews>
  <sheetFormatPr baseColWidth="10" defaultRowHeight="15" x14ac:dyDescent="0.25"/>
  <cols>
    <col min="31" max="31" width="8" customWidth="1"/>
    <col min="33" max="33" width="12.85546875" bestFit="1" customWidth="1"/>
  </cols>
  <sheetData>
    <row r="1" spans="1:34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F1" t="s">
        <v>3</v>
      </c>
      <c r="AG1" t="s">
        <v>23</v>
      </c>
      <c r="AH1">
        <v>0</v>
      </c>
    </row>
    <row r="2" spans="1:34" x14ac:dyDescent="0.25">
      <c r="A2">
        <v>0</v>
      </c>
      <c r="B2" t="s">
        <v>2</v>
      </c>
      <c r="C2">
        <v>1</v>
      </c>
      <c r="D2">
        <v>1</v>
      </c>
      <c r="E2">
        <v>1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F2">
        <f>SUM(B2:AD2)</f>
        <v>3</v>
      </c>
      <c r="AG2">
        <f>AF2/29</f>
        <v>0.10344827586206896</v>
      </c>
    </row>
    <row r="3" spans="1:34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F3">
        <f t="shared" ref="AF3:AF66" si="0">SUM(B3:AD3)</f>
        <v>0</v>
      </c>
      <c r="AG3">
        <f t="shared" ref="AG3:AG66" si="1">AF3/29</f>
        <v>0</v>
      </c>
    </row>
    <row r="4" spans="1:34" x14ac:dyDescent="0.25">
      <c r="A4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F4">
        <f t="shared" si="0"/>
        <v>29</v>
      </c>
      <c r="AG4">
        <f t="shared" si="1"/>
        <v>1</v>
      </c>
    </row>
    <row r="5" spans="1:34" x14ac:dyDescent="0.25">
      <c r="A5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F5">
        <f t="shared" si="0"/>
        <v>29</v>
      </c>
      <c r="AG5">
        <f t="shared" si="1"/>
        <v>1</v>
      </c>
    </row>
    <row r="6" spans="1:34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F6">
        <f t="shared" si="0"/>
        <v>0</v>
      </c>
      <c r="AG6">
        <f t="shared" si="1"/>
        <v>0</v>
      </c>
    </row>
    <row r="7" spans="1:34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F7">
        <f t="shared" si="0"/>
        <v>9</v>
      </c>
      <c r="AG7">
        <f t="shared" si="1"/>
        <v>0.31034482758620691</v>
      </c>
    </row>
    <row r="8" spans="1:34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F8">
        <f t="shared" si="0"/>
        <v>0</v>
      </c>
      <c r="AG8">
        <f t="shared" si="1"/>
        <v>0</v>
      </c>
    </row>
    <row r="9" spans="1:34" x14ac:dyDescent="0.25">
      <c r="A9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F9">
        <f t="shared" si="0"/>
        <v>29</v>
      </c>
      <c r="AG9">
        <f t="shared" si="1"/>
        <v>1</v>
      </c>
    </row>
    <row r="10" spans="1:34" x14ac:dyDescent="0.25">
      <c r="A10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F10">
        <f t="shared" si="0"/>
        <v>29</v>
      </c>
      <c r="AG10">
        <f t="shared" si="1"/>
        <v>1</v>
      </c>
    </row>
    <row r="11" spans="1:34" x14ac:dyDescent="0.25">
      <c r="A11">
        <v>9</v>
      </c>
      <c r="B11" t="s">
        <v>2</v>
      </c>
      <c r="C11" t="s">
        <v>2</v>
      </c>
      <c r="D11" t="s">
        <v>2</v>
      </c>
      <c r="E11" t="s">
        <v>2</v>
      </c>
      <c r="F11">
        <v>1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F11">
        <f t="shared" si="0"/>
        <v>1</v>
      </c>
      <c r="AG11">
        <f t="shared" si="1"/>
        <v>3.4482758620689655E-2</v>
      </c>
    </row>
    <row r="12" spans="1:34" x14ac:dyDescent="0.25">
      <c r="A12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F12">
        <f t="shared" si="0"/>
        <v>29</v>
      </c>
      <c r="AG12">
        <f t="shared" si="1"/>
        <v>1</v>
      </c>
    </row>
    <row r="13" spans="1:34" x14ac:dyDescent="0.25">
      <c r="A13">
        <v>11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F13">
        <f t="shared" si="0"/>
        <v>21</v>
      </c>
      <c r="AG13">
        <f t="shared" si="1"/>
        <v>0.72413793103448276</v>
      </c>
    </row>
    <row r="14" spans="1:34" x14ac:dyDescent="0.25">
      <c r="A14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F14">
        <f t="shared" si="0"/>
        <v>29</v>
      </c>
      <c r="AG14">
        <f t="shared" si="1"/>
        <v>1</v>
      </c>
    </row>
    <row r="15" spans="1:34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F15">
        <f t="shared" si="0"/>
        <v>0</v>
      </c>
      <c r="AG15">
        <f t="shared" si="1"/>
        <v>0</v>
      </c>
    </row>
    <row r="16" spans="1:34" x14ac:dyDescent="0.25">
      <c r="A16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F16">
        <f t="shared" si="0"/>
        <v>29</v>
      </c>
      <c r="AG16">
        <f t="shared" si="1"/>
        <v>1</v>
      </c>
    </row>
    <row r="17" spans="1:33" x14ac:dyDescent="0.25">
      <c r="A17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F17">
        <f t="shared" si="0"/>
        <v>22</v>
      </c>
      <c r="AG17">
        <f t="shared" si="1"/>
        <v>0.75862068965517238</v>
      </c>
    </row>
    <row r="18" spans="1:33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F18">
        <f t="shared" si="0"/>
        <v>0</v>
      </c>
      <c r="AG18">
        <f t="shared" si="1"/>
        <v>0</v>
      </c>
    </row>
    <row r="19" spans="1:33" x14ac:dyDescent="0.25">
      <c r="A19">
        <v>17</v>
      </c>
      <c r="B19" t="s">
        <v>2</v>
      </c>
      <c r="C19" t="s">
        <v>2</v>
      </c>
      <c r="D19" t="s">
        <v>2</v>
      </c>
      <c r="E19" t="s">
        <v>2</v>
      </c>
      <c r="F19">
        <v>1</v>
      </c>
      <c r="G19">
        <v>1</v>
      </c>
      <c r="H19">
        <v>1</v>
      </c>
      <c r="I19">
        <v>1</v>
      </c>
      <c r="J19" t="s">
        <v>4</v>
      </c>
      <c r="K19" t="s">
        <v>4</v>
      </c>
      <c r="L19" t="s">
        <v>4</v>
      </c>
      <c r="M19" t="s">
        <v>4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F19">
        <f t="shared" si="0"/>
        <v>21</v>
      </c>
      <c r="AG19">
        <f t="shared" si="1"/>
        <v>0.72413793103448276</v>
      </c>
    </row>
    <row r="20" spans="1:33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F20">
        <f t="shared" si="0"/>
        <v>0</v>
      </c>
      <c r="AG20">
        <f t="shared" si="1"/>
        <v>0</v>
      </c>
    </row>
    <row r="21" spans="1:33" x14ac:dyDescent="0.25">
      <c r="A2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F21">
        <f t="shared" si="0"/>
        <v>29</v>
      </c>
      <c r="AG21">
        <f t="shared" si="1"/>
        <v>1</v>
      </c>
    </row>
    <row r="22" spans="1:33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F22">
        <f t="shared" si="0"/>
        <v>0</v>
      </c>
      <c r="AG22">
        <f t="shared" si="1"/>
        <v>0</v>
      </c>
    </row>
    <row r="23" spans="1:33" x14ac:dyDescent="0.25">
      <c r="A23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F23">
        <f t="shared" si="0"/>
        <v>29</v>
      </c>
      <c r="AG23">
        <f t="shared" si="1"/>
        <v>1</v>
      </c>
    </row>
    <row r="24" spans="1:33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F24">
        <f t="shared" si="0"/>
        <v>0</v>
      </c>
      <c r="AG24">
        <f t="shared" si="1"/>
        <v>0</v>
      </c>
    </row>
    <row r="25" spans="1:33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F25">
        <f t="shared" si="0"/>
        <v>0</v>
      </c>
      <c r="AG25">
        <f t="shared" si="1"/>
        <v>0</v>
      </c>
    </row>
    <row r="26" spans="1:33" x14ac:dyDescent="0.25">
      <c r="A26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F26">
        <f t="shared" si="0"/>
        <v>29</v>
      </c>
      <c r="AG26">
        <f t="shared" si="1"/>
        <v>1</v>
      </c>
    </row>
    <row r="27" spans="1:33" x14ac:dyDescent="0.25">
      <c r="A27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F27">
        <f t="shared" si="0"/>
        <v>29</v>
      </c>
      <c r="AG27">
        <f t="shared" si="1"/>
        <v>1</v>
      </c>
    </row>
    <row r="28" spans="1:33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F28">
        <f t="shared" si="0"/>
        <v>6</v>
      </c>
      <c r="AG28">
        <f t="shared" si="1"/>
        <v>0.20689655172413793</v>
      </c>
    </row>
    <row r="29" spans="1:33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F29">
        <f t="shared" si="0"/>
        <v>0</v>
      </c>
      <c r="AG29">
        <f t="shared" si="1"/>
        <v>0</v>
      </c>
    </row>
    <row r="30" spans="1:33" x14ac:dyDescent="0.25">
      <c r="A30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F30">
        <f t="shared" si="0"/>
        <v>29</v>
      </c>
      <c r="AG30">
        <f t="shared" si="1"/>
        <v>1</v>
      </c>
    </row>
    <row r="31" spans="1:33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>
        <v>1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F31">
        <f t="shared" si="0"/>
        <v>1</v>
      </c>
      <c r="AG31">
        <f t="shared" si="1"/>
        <v>3.4482758620689655E-2</v>
      </c>
    </row>
    <row r="32" spans="1:33" x14ac:dyDescent="0.25">
      <c r="A32">
        <v>30</v>
      </c>
      <c r="B32" t="s">
        <v>2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F32">
        <f t="shared" si="0"/>
        <v>0</v>
      </c>
      <c r="AG32">
        <f t="shared" si="1"/>
        <v>0</v>
      </c>
    </row>
    <row r="33" spans="1:33" x14ac:dyDescent="0.25">
      <c r="A33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F33">
        <f t="shared" si="0"/>
        <v>29</v>
      </c>
      <c r="AG33">
        <f t="shared" si="1"/>
        <v>1</v>
      </c>
    </row>
    <row r="34" spans="1:33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F34">
        <f t="shared" si="0"/>
        <v>0</v>
      </c>
      <c r="AG34">
        <f t="shared" si="1"/>
        <v>0</v>
      </c>
    </row>
    <row r="35" spans="1:33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F35">
        <f t="shared" si="0"/>
        <v>0</v>
      </c>
      <c r="AG35">
        <f t="shared" si="1"/>
        <v>0</v>
      </c>
    </row>
    <row r="36" spans="1:33" x14ac:dyDescent="0.25">
      <c r="A36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F36">
        <f t="shared" si="0"/>
        <v>29</v>
      </c>
      <c r="AG36">
        <f t="shared" si="1"/>
        <v>1</v>
      </c>
    </row>
    <row r="37" spans="1:33" x14ac:dyDescent="0.25">
      <c r="A37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F37">
        <f t="shared" si="0"/>
        <v>29</v>
      </c>
      <c r="AG37">
        <f t="shared" si="1"/>
        <v>1</v>
      </c>
    </row>
    <row r="38" spans="1:33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F38">
        <f t="shared" si="0"/>
        <v>0</v>
      </c>
      <c r="AG38">
        <f t="shared" si="1"/>
        <v>0</v>
      </c>
    </row>
    <row r="39" spans="1:33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2</v>
      </c>
      <c r="O39" t="s">
        <v>2</v>
      </c>
      <c r="P39">
        <v>1</v>
      </c>
      <c r="Q39">
        <v>1</v>
      </c>
      <c r="R39" t="s">
        <v>2</v>
      </c>
      <c r="S39" t="s">
        <v>2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F39">
        <f t="shared" si="0"/>
        <v>13</v>
      </c>
      <c r="AG39">
        <f t="shared" si="1"/>
        <v>0.44827586206896552</v>
      </c>
    </row>
    <row r="40" spans="1:33" x14ac:dyDescent="0.25">
      <c r="A40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F40">
        <f t="shared" si="0"/>
        <v>29</v>
      </c>
      <c r="AG40">
        <f t="shared" si="1"/>
        <v>1</v>
      </c>
    </row>
    <row r="41" spans="1:33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F41">
        <f t="shared" si="0"/>
        <v>0</v>
      </c>
      <c r="AG41">
        <f t="shared" si="1"/>
        <v>0</v>
      </c>
    </row>
    <row r="42" spans="1:33" x14ac:dyDescent="0.25">
      <c r="A42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F42">
        <f t="shared" si="0"/>
        <v>29</v>
      </c>
      <c r="AG42">
        <f t="shared" si="1"/>
        <v>1</v>
      </c>
    </row>
    <row r="43" spans="1:33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F43">
        <f t="shared" si="0"/>
        <v>0</v>
      </c>
      <c r="AG43">
        <f t="shared" si="1"/>
        <v>0</v>
      </c>
    </row>
    <row r="44" spans="1:33" x14ac:dyDescent="0.25">
      <c r="A44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F44">
        <f t="shared" si="0"/>
        <v>29</v>
      </c>
      <c r="AG44">
        <f t="shared" si="1"/>
        <v>1</v>
      </c>
    </row>
    <row r="45" spans="1:33" x14ac:dyDescent="0.25">
      <c r="A45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F45">
        <f t="shared" si="0"/>
        <v>29</v>
      </c>
      <c r="AG45">
        <f t="shared" si="1"/>
        <v>1</v>
      </c>
    </row>
    <row r="46" spans="1:33" x14ac:dyDescent="0.25">
      <c r="A46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 t="s">
        <v>4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F46">
        <f t="shared" si="0"/>
        <v>28</v>
      </c>
      <c r="AG46">
        <f t="shared" si="1"/>
        <v>0.96551724137931039</v>
      </c>
    </row>
    <row r="47" spans="1:33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>
        <v>1</v>
      </c>
      <c r="G47" t="s">
        <v>2</v>
      </c>
      <c r="H47" t="s">
        <v>2</v>
      </c>
      <c r="I47" t="s">
        <v>2</v>
      </c>
      <c r="J47">
        <v>1</v>
      </c>
      <c r="K47">
        <v>1</v>
      </c>
      <c r="L47">
        <v>1</v>
      </c>
      <c r="M47">
        <v>1</v>
      </c>
      <c r="N47" t="s">
        <v>2</v>
      </c>
      <c r="O47" t="s">
        <v>2</v>
      </c>
      <c r="P47">
        <v>1</v>
      </c>
      <c r="Q47">
        <v>1</v>
      </c>
      <c r="R47">
        <v>1</v>
      </c>
      <c r="S47">
        <v>1</v>
      </c>
      <c r="T47" t="s">
        <v>2</v>
      </c>
      <c r="U47" t="s">
        <v>2</v>
      </c>
      <c r="V47" t="s">
        <v>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F47">
        <f t="shared" si="0"/>
        <v>9</v>
      </c>
      <c r="AG47">
        <f t="shared" si="1"/>
        <v>0.31034482758620691</v>
      </c>
    </row>
    <row r="48" spans="1:33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F48">
        <f t="shared" si="0"/>
        <v>0</v>
      </c>
      <c r="AG48">
        <f t="shared" si="1"/>
        <v>0</v>
      </c>
    </row>
    <row r="49" spans="1:33" x14ac:dyDescent="0.25">
      <c r="A49">
        <v>47</v>
      </c>
      <c r="B49" t="s">
        <v>2</v>
      </c>
      <c r="C49" t="s">
        <v>2</v>
      </c>
      <c r="D49" t="s">
        <v>2</v>
      </c>
      <c r="E49" t="s">
        <v>2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 t="s">
        <v>2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F49">
        <f t="shared" si="0"/>
        <v>24</v>
      </c>
      <c r="AG49">
        <f t="shared" si="1"/>
        <v>0.82758620689655171</v>
      </c>
    </row>
    <row r="50" spans="1:33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F50">
        <f t="shared" si="0"/>
        <v>0</v>
      </c>
      <c r="AG50">
        <f t="shared" si="1"/>
        <v>0</v>
      </c>
    </row>
    <row r="51" spans="1:33" x14ac:dyDescent="0.25">
      <c r="A5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F51">
        <f t="shared" si="0"/>
        <v>29</v>
      </c>
      <c r="AG51">
        <f t="shared" si="1"/>
        <v>1</v>
      </c>
    </row>
    <row r="52" spans="1:33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F52">
        <f t="shared" si="0"/>
        <v>0</v>
      </c>
      <c r="AG52">
        <f t="shared" si="1"/>
        <v>0</v>
      </c>
    </row>
    <row r="53" spans="1:33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F53">
        <f t="shared" si="0"/>
        <v>0</v>
      </c>
      <c r="AG53">
        <f t="shared" si="1"/>
        <v>0</v>
      </c>
    </row>
    <row r="54" spans="1:33" x14ac:dyDescent="0.25">
      <c r="A54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F54">
        <f t="shared" si="0"/>
        <v>29</v>
      </c>
      <c r="AG54">
        <f t="shared" si="1"/>
        <v>1</v>
      </c>
    </row>
    <row r="55" spans="1:33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F55">
        <f t="shared" si="0"/>
        <v>0</v>
      </c>
      <c r="AG55">
        <f t="shared" si="1"/>
        <v>0</v>
      </c>
    </row>
    <row r="56" spans="1:33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F56">
        <f t="shared" si="0"/>
        <v>0</v>
      </c>
      <c r="AG56">
        <f t="shared" si="1"/>
        <v>0</v>
      </c>
    </row>
    <row r="57" spans="1:33" x14ac:dyDescent="0.25">
      <c r="A57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F57">
        <f t="shared" si="0"/>
        <v>29</v>
      </c>
      <c r="AG57">
        <f t="shared" si="1"/>
        <v>1</v>
      </c>
    </row>
    <row r="58" spans="1:33" x14ac:dyDescent="0.25">
      <c r="A58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 t="s">
        <v>2</v>
      </c>
      <c r="X58" t="s">
        <v>2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F58">
        <f t="shared" si="0"/>
        <v>21</v>
      </c>
      <c r="AG58">
        <f t="shared" si="1"/>
        <v>0.72413793103448276</v>
      </c>
    </row>
    <row r="59" spans="1:33" x14ac:dyDescent="0.25">
      <c r="A59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F59">
        <f t="shared" si="0"/>
        <v>29</v>
      </c>
      <c r="AG59">
        <f t="shared" si="1"/>
        <v>1</v>
      </c>
    </row>
    <row r="60" spans="1:33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F60">
        <f t="shared" si="0"/>
        <v>0</v>
      </c>
      <c r="AG60">
        <f t="shared" si="1"/>
        <v>0</v>
      </c>
    </row>
    <row r="61" spans="1:33" x14ac:dyDescent="0.25">
      <c r="A6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F61">
        <f t="shared" si="0"/>
        <v>29</v>
      </c>
      <c r="AG61">
        <f t="shared" si="1"/>
        <v>1</v>
      </c>
    </row>
    <row r="62" spans="1:33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 t="s">
        <v>2</v>
      </c>
      <c r="J62" t="s">
        <v>2</v>
      </c>
      <c r="K62" t="s">
        <v>2</v>
      </c>
      <c r="L62" t="s">
        <v>2</v>
      </c>
      <c r="M62">
        <v>1</v>
      </c>
      <c r="N62" t="s">
        <v>2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 t="s">
        <v>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F62">
        <f t="shared" si="0"/>
        <v>1</v>
      </c>
      <c r="AG62">
        <f t="shared" si="1"/>
        <v>3.4482758620689655E-2</v>
      </c>
    </row>
    <row r="63" spans="1:33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>
        <v>1</v>
      </c>
      <c r="G63">
        <v>1</v>
      </c>
      <c r="H63">
        <v>1</v>
      </c>
      <c r="I63">
        <v>1</v>
      </c>
      <c r="J63" t="s">
        <v>2</v>
      </c>
      <c r="K63" t="s">
        <v>2</v>
      </c>
      <c r="L63">
        <v>1</v>
      </c>
      <c r="M63">
        <v>1</v>
      </c>
      <c r="N63" t="s">
        <v>2</v>
      </c>
      <c r="O63" t="s">
        <v>2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F63">
        <f t="shared" si="0"/>
        <v>21</v>
      </c>
      <c r="AG63">
        <f t="shared" si="1"/>
        <v>0.72413793103448276</v>
      </c>
    </row>
    <row r="64" spans="1:33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>
        <v>1</v>
      </c>
      <c r="I64" t="s">
        <v>4</v>
      </c>
      <c r="J64" t="s">
        <v>4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F64">
        <f t="shared" si="0"/>
        <v>1</v>
      </c>
      <c r="AG64">
        <f t="shared" si="1"/>
        <v>3.4482758620689655E-2</v>
      </c>
    </row>
    <row r="65" spans="1:33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F65">
        <f t="shared" si="0"/>
        <v>0</v>
      </c>
      <c r="AG65">
        <f t="shared" si="1"/>
        <v>0</v>
      </c>
    </row>
    <row r="66" spans="1:33" x14ac:dyDescent="0.25">
      <c r="A66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F66">
        <f t="shared" si="0"/>
        <v>29</v>
      </c>
      <c r="AG66">
        <f t="shared" si="1"/>
        <v>1</v>
      </c>
    </row>
    <row r="67" spans="1:33" x14ac:dyDescent="0.25">
      <c r="A67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F67">
        <f t="shared" ref="AF67:AF130" si="2">SUM(B67:AD67)</f>
        <v>29</v>
      </c>
      <c r="AG67">
        <f t="shared" ref="AG67:AG130" si="3">AF67/29</f>
        <v>1</v>
      </c>
    </row>
    <row r="68" spans="1:33" x14ac:dyDescent="0.25">
      <c r="A68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F68">
        <f t="shared" si="2"/>
        <v>29</v>
      </c>
      <c r="AG68">
        <f t="shared" si="3"/>
        <v>1</v>
      </c>
    </row>
    <row r="69" spans="1:33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F69">
        <f t="shared" si="2"/>
        <v>0</v>
      </c>
      <c r="AG69">
        <f t="shared" si="3"/>
        <v>0</v>
      </c>
    </row>
    <row r="70" spans="1:33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F70">
        <f t="shared" si="2"/>
        <v>0</v>
      </c>
      <c r="AG70">
        <f t="shared" si="3"/>
        <v>0</v>
      </c>
    </row>
    <row r="71" spans="1:33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F71">
        <f t="shared" si="2"/>
        <v>14</v>
      </c>
      <c r="AG71">
        <f t="shared" si="3"/>
        <v>0.48275862068965519</v>
      </c>
    </row>
    <row r="72" spans="1:33" x14ac:dyDescent="0.25">
      <c r="A72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F72">
        <f t="shared" si="2"/>
        <v>29</v>
      </c>
      <c r="AG72">
        <f t="shared" si="3"/>
        <v>1</v>
      </c>
    </row>
    <row r="73" spans="1:33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F73">
        <f t="shared" si="2"/>
        <v>0</v>
      </c>
      <c r="AG73">
        <f t="shared" si="3"/>
        <v>0</v>
      </c>
    </row>
    <row r="74" spans="1:33" x14ac:dyDescent="0.25">
      <c r="A74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F74">
        <f t="shared" si="2"/>
        <v>29</v>
      </c>
      <c r="AG74">
        <f t="shared" si="3"/>
        <v>1</v>
      </c>
    </row>
    <row r="75" spans="1:33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F75">
        <f t="shared" si="2"/>
        <v>0</v>
      </c>
      <c r="AG75">
        <f t="shared" si="3"/>
        <v>0</v>
      </c>
    </row>
    <row r="76" spans="1:33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F76">
        <f t="shared" si="2"/>
        <v>0</v>
      </c>
      <c r="AG76">
        <f t="shared" si="3"/>
        <v>0</v>
      </c>
    </row>
    <row r="77" spans="1:33" x14ac:dyDescent="0.25">
      <c r="A77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F77">
        <f t="shared" si="2"/>
        <v>29</v>
      </c>
      <c r="AG77">
        <f t="shared" si="3"/>
        <v>1</v>
      </c>
    </row>
    <row r="78" spans="1:33" x14ac:dyDescent="0.25">
      <c r="A78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F78">
        <f t="shared" si="2"/>
        <v>29</v>
      </c>
      <c r="AG78">
        <f t="shared" si="3"/>
        <v>1</v>
      </c>
    </row>
    <row r="79" spans="1:33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F79">
        <f t="shared" si="2"/>
        <v>0</v>
      </c>
      <c r="AG79">
        <f t="shared" si="3"/>
        <v>0</v>
      </c>
    </row>
    <row r="80" spans="1:33" x14ac:dyDescent="0.25">
      <c r="A80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F80">
        <f t="shared" si="2"/>
        <v>29</v>
      </c>
      <c r="AG80">
        <f t="shared" si="3"/>
        <v>1</v>
      </c>
    </row>
    <row r="81" spans="1:33" x14ac:dyDescent="0.25">
      <c r="A8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F81">
        <f t="shared" si="2"/>
        <v>29</v>
      </c>
      <c r="AG81">
        <f t="shared" si="3"/>
        <v>1</v>
      </c>
    </row>
    <row r="82" spans="1:33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F82">
        <f t="shared" si="2"/>
        <v>0</v>
      </c>
      <c r="AG82">
        <f t="shared" si="3"/>
        <v>0</v>
      </c>
    </row>
    <row r="83" spans="1:33" x14ac:dyDescent="0.25">
      <c r="A83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F83">
        <f t="shared" si="2"/>
        <v>29</v>
      </c>
      <c r="AG83">
        <f t="shared" si="3"/>
        <v>1</v>
      </c>
    </row>
    <row r="84" spans="1:33" x14ac:dyDescent="0.25">
      <c r="A84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F84">
        <f t="shared" si="2"/>
        <v>29</v>
      </c>
      <c r="AG84">
        <f t="shared" si="3"/>
        <v>1</v>
      </c>
    </row>
    <row r="85" spans="1:33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F85">
        <f t="shared" si="2"/>
        <v>0</v>
      </c>
      <c r="AG85">
        <f t="shared" si="3"/>
        <v>0</v>
      </c>
    </row>
    <row r="86" spans="1:33" x14ac:dyDescent="0.25">
      <c r="A86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F86">
        <f t="shared" si="2"/>
        <v>29</v>
      </c>
      <c r="AG86">
        <f t="shared" si="3"/>
        <v>1</v>
      </c>
    </row>
    <row r="87" spans="1:33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F87">
        <f t="shared" si="2"/>
        <v>0</v>
      </c>
      <c r="AG87">
        <f t="shared" si="3"/>
        <v>0</v>
      </c>
    </row>
    <row r="88" spans="1:33" x14ac:dyDescent="0.25">
      <c r="A88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F88">
        <f t="shared" si="2"/>
        <v>29</v>
      </c>
      <c r="AG88">
        <f t="shared" si="3"/>
        <v>1</v>
      </c>
    </row>
    <row r="89" spans="1:33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F89">
        <f t="shared" si="2"/>
        <v>0</v>
      </c>
      <c r="AG89">
        <f t="shared" si="3"/>
        <v>0</v>
      </c>
    </row>
    <row r="90" spans="1:33" x14ac:dyDescent="0.25">
      <c r="A90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F90">
        <f t="shared" si="2"/>
        <v>29</v>
      </c>
      <c r="AG90">
        <f t="shared" si="3"/>
        <v>1</v>
      </c>
    </row>
    <row r="91" spans="1:33" x14ac:dyDescent="0.25">
      <c r="A9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F91">
        <f t="shared" si="2"/>
        <v>29</v>
      </c>
      <c r="AG91">
        <f t="shared" si="3"/>
        <v>1</v>
      </c>
    </row>
    <row r="92" spans="1:33" x14ac:dyDescent="0.25">
      <c r="A92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F92">
        <f t="shared" si="2"/>
        <v>29</v>
      </c>
      <c r="AG92">
        <f t="shared" si="3"/>
        <v>1</v>
      </c>
    </row>
    <row r="93" spans="1:33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>
        <v>1</v>
      </c>
      <c r="I93" t="s">
        <v>4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4</v>
      </c>
      <c r="X93">
        <v>1</v>
      </c>
      <c r="Y93" t="s">
        <v>4</v>
      </c>
      <c r="Z93" t="s">
        <v>4</v>
      </c>
      <c r="AA93" t="s">
        <v>4</v>
      </c>
      <c r="AB93" t="s">
        <v>4</v>
      </c>
      <c r="AC93" t="s">
        <v>4</v>
      </c>
      <c r="AD93" t="s">
        <v>4</v>
      </c>
      <c r="AF93">
        <f t="shared" si="2"/>
        <v>2</v>
      </c>
      <c r="AG93">
        <f t="shared" si="3"/>
        <v>6.8965517241379309E-2</v>
      </c>
    </row>
    <row r="94" spans="1:33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F94">
        <f t="shared" si="2"/>
        <v>0</v>
      </c>
      <c r="AG94">
        <f t="shared" si="3"/>
        <v>0</v>
      </c>
    </row>
    <row r="95" spans="1:33" x14ac:dyDescent="0.25">
      <c r="A95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F95">
        <f t="shared" si="2"/>
        <v>29</v>
      </c>
      <c r="AG95">
        <f t="shared" si="3"/>
        <v>1</v>
      </c>
    </row>
    <row r="96" spans="1:33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F96">
        <f t="shared" si="2"/>
        <v>0</v>
      </c>
      <c r="AG96">
        <f t="shared" si="3"/>
        <v>0</v>
      </c>
    </row>
    <row r="97" spans="1:33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F97">
        <f t="shared" si="2"/>
        <v>23</v>
      </c>
      <c r="AG97">
        <f t="shared" si="3"/>
        <v>0.7931034482758621</v>
      </c>
    </row>
    <row r="98" spans="1:33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F98">
        <f t="shared" si="2"/>
        <v>0</v>
      </c>
      <c r="AG98">
        <f t="shared" si="3"/>
        <v>0</v>
      </c>
    </row>
    <row r="99" spans="1:33" x14ac:dyDescent="0.25">
      <c r="A99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F99">
        <f t="shared" si="2"/>
        <v>29</v>
      </c>
      <c r="AG99">
        <f t="shared" si="3"/>
        <v>1</v>
      </c>
    </row>
    <row r="100" spans="1:33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2</v>
      </c>
      <c r="G100" t="s">
        <v>2</v>
      </c>
      <c r="H100" t="s">
        <v>2</v>
      </c>
      <c r="I100" t="s">
        <v>2</v>
      </c>
      <c r="J100" t="s">
        <v>2</v>
      </c>
      <c r="K100" t="s">
        <v>2</v>
      </c>
      <c r="L100" t="s">
        <v>2</v>
      </c>
      <c r="M100" t="s">
        <v>2</v>
      </c>
      <c r="N100" t="s">
        <v>2</v>
      </c>
      <c r="O100" t="s">
        <v>2</v>
      </c>
      <c r="P100" t="s">
        <v>2</v>
      </c>
      <c r="Q100" t="s">
        <v>2</v>
      </c>
      <c r="R100" t="s">
        <v>2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F100">
        <f t="shared" si="2"/>
        <v>0</v>
      </c>
      <c r="AG100">
        <f t="shared" si="3"/>
        <v>0</v>
      </c>
    </row>
    <row r="101" spans="1:33" x14ac:dyDescent="0.25">
      <c r="A10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F101">
        <f t="shared" si="2"/>
        <v>29</v>
      </c>
      <c r="AG101">
        <f t="shared" si="3"/>
        <v>1</v>
      </c>
    </row>
    <row r="102" spans="1:33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F102">
        <f t="shared" si="2"/>
        <v>0</v>
      </c>
      <c r="AG102">
        <f t="shared" si="3"/>
        <v>0</v>
      </c>
    </row>
    <row r="103" spans="1:33" x14ac:dyDescent="0.25">
      <c r="A103">
        <v>101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F103">
        <f t="shared" si="2"/>
        <v>29</v>
      </c>
      <c r="AG103">
        <f t="shared" si="3"/>
        <v>1</v>
      </c>
    </row>
    <row r="104" spans="1:33" x14ac:dyDescent="0.25">
      <c r="A104">
        <v>102</v>
      </c>
      <c r="B104" t="s">
        <v>2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F104">
        <f t="shared" si="2"/>
        <v>0</v>
      </c>
      <c r="AG104">
        <f t="shared" si="3"/>
        <v>0</v>
      </c>
    </row>
    <row r="105" spans="1:33" x14ac:dyDescent="0.25">
      <c r="A105">
        <v>103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F105">
        <f t="shared" si="2"/>
        <v>29</v>
      </c>
      <c r="AG105">
        <f t="shared" si="3"/>
        <v>1</v>
      </c>
    </row>
    <row r="106" spans="1:33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F106">
        <f t="shared" si="2"/>
        <v>0</v>
      </c>
      <c r="AG106">
        <f t="shared" si="3"/>
        <v>0</v>
      </c>
    </row>
    <row r="107" spans="1:33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 t="s">
        <v>2</v>
      </c>
      <c r="V107" t="s">
        <v>2</v>
      </c>
      <c r="W107" t="s">
        <v>2</v>
      </c>
      <c r="X107" t="s">
        <v>2</v>
      </c>
      <c r="Y107" t="s">
        <v>2</v>
      </c>
      <c r="Z107" t="s">
        <v>2</v>
      </c>
      <c r="AA107" t="s">
        <v>2</v>
      </c>
      <c r="AB107" t="s">
        <v>2</v>
      </c>
      <c r="AC107" t="s">
        <v>2</v>
      </c>
      <c r="AD107" t="s">
        <v>2</v>
      </c>
      <c r="AF107">
        <f t="shared" si="2"/>
        <v>0</v>
      </c>
      <c r="AG107">
        <f t="shared" si="3"/>
        <v>0</v>
      </c>
    </row>
    <row r="108" spans="1:33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F108">
        <f t="shared" si="2"/>
        <v>0</v>
      </c>
      <c r="AG108">
        <f t="shared" si="3"/>
        <v>0</v>
      </c>
    </row>
    <row r="109" spans="1:33" x14ac:dyDescent="0.25">
      <c r="A109">
        <v>107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F109">
        <f t="shared" si="2"/>
        <v>29</v>
      </c>
      <c r="AG109">
        <f t="shared" si="3"/>
        <v>1</v>
      </c>
    </row>
    <row r="110" spans="1:33" x14ac:dyDescent="0.25">
      <c r="A110">
        <v>108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F110">
        <f t="shared" si="2"/>
        <v>29</v>
      </c>
      <c r="AG110">
        <f t="shared" si="3"/>
        <v>1</v>
      </c>
    </row>
    <row r="111" spans="1:33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F111">
        <f t="shared" si="2"/>
        <v>0</v>
      </c>
      <c r="AG111">
        <f t="shared" si="3"/>
        <v>0</v>
      </c>
    </row>
    <row r="112" spans="1:33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F112">
        <f t="shared" si="2"/>
        <v>0</v>
      </c>
      <c r="AG112">
        <f t="shared" si="3"/>
        <v>0</v>
      </c>
    </row>
    <row r="113" spans="1:33" x14ac:dyDescent="0.25">
      <c r="A113">
        <v>111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F113">
        <f t="shared" si="2"/>
        <v>29</v>
      </c>
      <c r="AG113">
        <f t="shared" si="3"/>
        <v>1</v>
      </c>
    </row>
    <row r="114" spans="1:33" x14ac:dyDescent="0.25">
      <c r="A114">
        <v>112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F114">
        <f t="shared" si="2"/>
        <v>29</v>
      </c>
      <c r="AG114">
        <f t="shared" si="3"/>
        <v>1</v>
      </c>
    </row>
    <row r="115" spans="1:33" x14ac:dyDescent="0.25">
      <c r="A115">
        <v>113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 t="s">
        <v>2</v>
      </c>
      <c r="U115" t="s">
        <v>2</v>
      </c>
      <c r="V115" t="s">
        <v>2</v>
      </c>
      <c r="W115" t="s">
        <v>2</v>
      </c>
      <c r="X115" t="s">
        <v>2</v>
      </c>
      <c r="Y115" t="s">
        <v>2</v>
      </c>
      <c r="Z115" t="s">
        <v>2</v>
      </c>
      <c r="AA115" t="s">
        <v>2</v>
      </c>
      <c r="AB115" t="s">
        <v>2</v>
      </c>
      <c r="AC115" t="s">
        <v>2</v>
      </c>
      <c r="AD115" t="s">
        <v>2</v>
      </c>
      <c r="AF115">
        <f t="shared" si="2"/>
        <v>18</v>
      </c>
      <c r="AG115">
        <f t="shared" si="3"/>
        <v>0.62068965517241381</v>
      </c>
    </row>
    <row r="116" spans="1:33" x14ac:dyDescent="0.25">
      <c r="A116">
        <v>114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F116">
        <f t="shared" si="2"/>
        <v>29</v>
      </c>
      <c r="AG116">
        <f t="shared" si="3"/>
        <v>1</v>
      </c>
    </row>
    <row r="117" spans="1:33" x14ac:dyDescent="0.25">
      <c r="A117">
        <v>115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F117">
        <f t="shared" si="2"/>
        <v>29</v>
      </c>
      <c r="AG117">
        <f t="shared" si="3"/>
        <v>1</v>
      </c>
    </row>
    <row r="118" spans="1:33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>
        <v>1</v>
      </c>
      <c r="I118" t="s">
        <v>4</v>
      </c>
      <c r="J118" t="s">
        <v>4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F118">
        <f t="shared" si="2"/>
        <v>1</v>
      </c>
      <c r="AG118">
        <f t="shared" si="3"/>
        <v>3.4482758620689655E-2</v>
      </c>
    </row>
    <row r="119" spans="1:33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F119">
        <f t="shared" si="2"/>
        <v>0</v>
      </c>
      <c r="AG119">
        <f t="shared" si="3"/>
        <v>0</v>
      </c>
    </row>
    <row r="120" spans="1:33" x14ac:dyDescent="0.25">
      <c r="A120">
        <v>118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F120">
        <f t="shared" si="2"/>
        <v>29</v>
      </c>
      <c r="AG120">
        <f t="shared" si="3"/>
        <v>1</v>
      </c>
    </row>
    <row r="121" spans="1:33" x14ac:dyDescent="0.25">
      <c r="A121">
        <v>119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F121">
        <f t="shared" si="2"/>
        <v>29</v>
      </c>
      <c r="AG121">
        <f t="shared" si="3"/>
        <v>1</v>
      </c>
    </row>
    <row r="122" spans="1:33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F122">
        <f t="shared" si="2"/>
        <v>0</v>
      </c>
      <c r="AG122">
        <f t="shared" si="3"/>
        <v>0</v>
      </c>
    </row>
    <row r="123" spans="1:33" x14ac:dyDescent="0.25">
      <c r="A123">
        <v>121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F123">
        <f t="shared" si="2"/>
        <v>29</v>
      </c>
      <c r="AG123">
        <f t="shared" si="3"/>
        <v>1</v>
      </c>
    </row>
    <row r="124" spans="1:33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F124">
        <f t="shared" si="2"/>
        <v>0</v>
      </c>
      <c r="AG124">
        <f t="shared" si="3"/>
        <v>0</v>
      </c>
    </row>
    <row r="125" spans="1:33" x14ac:dyDescent="0.25">
      <c r="A125">
        <v>123</v>
      </c>
      <c r="B125" t="s">
        <v>2</v>
      </c>
      <c r="C125" t="s">
        <v>2</v>
      </c>
      <c r="D125" t="s">
        <v>2</v>
      </c>
      <c r="E125" t="s">
        <v>2</v>
      </c>
      <c r="F125" t="s">
        <v>2</v>
      </c>
      <c r="G125" t="s">
        <v>2</v>
      </c>
      <c r="H125">
        <v>1</v>
      </c>
      <c r="I125">
        <v>1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F125">
        <f t="shared" si="2"/>
        <v>2</v>
      </c>
      <c r="AG125">
        <f t="shared" si="3"/>
        <v>6.8965517241379309E-2</v>
      </c>
    </row>
    <row r="126" spans="1:33" x14ac:dyDescent="0.25">
      <c r="A126">
        <v>124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F126">
        <f t="shared" si="2"/>
        <v>29</v>
      </c>
      <c r="AG126">
        <f t="shared" si="3"/>
        <v>1</v>
      </c>
    </row>
    <row r="127" spans="1:33" x14ac:dyDescent="0.25">
      <c r="A127">
        <v>125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 t="s">
        <v>2</v>
      </c>
      <c r="K127" t="s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F127">
        <f t="shared" si="2"/>
        <v>8</v>
      </c>
      <c r="AG127">
        <f t="shared" si="3"/>
        <v>0.27586206896551724</v>
      </c>
    </row>
    <row r="128" spans="1:33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F128">
        <f t="shared" si="2"/>
        <v>0</v>
      </c>
      <c r="AG128">
        <f t="shared" si="3"/>
        <v>0</v>
      </c>
    </row>
    <row r="129" spans="1:33" x14ac:dyDescent="0.25">
      <c r="A129">
        <v>127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F129">
        <f t="shared" si="2"/>
        <v>29</v>
      </c>
      <c r="AG129">
        <f t="shared" si="3"/>
        <v>1</v>
      </c>
    </row>
    <row r="130" spans="1:33" x14ac:dyDescent="0.25">
      <c r="A130">
        <v>128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F130">
        <f t="shared" si="2"/>
        <v>29</v>
      </c>
      <c r="AG130">
        <f t="shared" si="3"/>
        <v>1</v>
      </c>
    </row>
    <row r="131" spans="1:33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F131">
        <f t="shared" ref="AF131:AF194" si="4">SUM(B131:AD131)</f>
        <v>0</v>
      </c>
      <c r="AG131">
        <f t="shared" ref="AG131:AG194" si="5">AF131/29</f>
        <v>0</v>
      </c>
    </row>
    <row r="132" spans="1:33" x14ac:dyDescent="0.25">
      <c r="A132">
        <v>130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F132">
        <f t="shared" si="4"/>
        <v>29</v>
      </c>
      <c r="AG132">
        <f t="shared" si="5"/>
        <v>1</v>
      </c>
    </row>
    <row r="133" spans="1:33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F133">
        <f t="shared" si="4"/>
        <v>0</v>
      </c>
      <c r="AG133">
        <f t="shared" si="5"/>
        <v>0</v>
      </c>
    </row>
    <row r="134" spans="1:33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F134">
        <f t="shared" si="4"/>
        <v>0</v>
      </c>
      <c r="AG134">
        <f t="shared" si="5"/>
        <v>0</v>
      </c>
    </row>
    <row r="135" spans="1:33" x14ac:dyDescent="0.25">
      <c r="A135">
        <v>133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F135">
        <f t="shared" si="4"/>
        <v>29</v>
      </c>
      <c r="AG135">
        <f t="shared" si="5"/>
        <v>1</v>
      </c>
    </row>
    <row r="136" spans="1:33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>
        <v>1</v>
      </c>
      <c r="G136">
        <v>1</v>
      </c>
      <c r="H136" t="s">
        <v>2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F136">
        <f t="shared" si="4"/>
        <v>2</v>
      </c>
      <c r="AG136">
        <f t="shared" si="5"/>
        <v>6.8965517241379309E-2</v>
      </c>
    </row>
    <row r="137" spans="1:33" x14ac:dyDescent="0.25">
      <c r="A137">
        <v>135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F137">
        <f t="shared" si="4"/>
        <v>29</v>
      </c>
      <c r="AG137">
        <f t="shared" si="5"/>
        <v>1</v>
      </c>
    </row>
    <row r="138" spans="1:33" x14ac:dyDescent="0.25">
      <c r="A138">
        <v>136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F138">
        <f t="shared" si="4"/>
        <v>29</v>
      </c>
      <c r="AG138">
        <f t="shared" si="5"/>
        <v>1</v>
      </c>
    </row>
    <row r="139" spans="1:33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F139">
        <f t="shared" si="4"/>
        <v>0</v>
      </c>
      <c r="AG139">
        <f t="shared" si="5"/>
        <v>0</v>
      </c>
    </row>
    <row r="140" spans="1:33" x14ac:dyDescent="0.25">
      <c r="A140">
        <v>138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F140">
        <f t="shared" si="4"/>
        <v>29</v>
      </c>
      <c r="AG140">
        <f t="shared" si="5"/>
        <v>1</v>
      </c>
    </row>
    <row r="141" spans="1:33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F141">
        <f t="shared" si="4"/>
        <v>0</v>
      </c>
      <c r="AG141">
        <f t="shared" si="5"/>
        <v>0</v>
      </c>
    </row>
    <row r="142" spans="1:33" x14ac:dyDescent="0.25">
      <c r="A142">
        <v>140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 t="s">
        <v>4</v>
      </c>
      <c r="AC142">
        <v>1</v>
      </c>
      <c r="AD142" t="s">
        <v>4</v>
      </c>
      <c r="AF142">
        <f t="shared" si="4"/>
        <v>27</v>
      </c>
      <c r="AG142">
        <f t="shared" si="5"/>
        <v>0.93103448275862066</v>
      </c>
    </row>
    <row r="143" spans="1:33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F143">
        <f t="shared" si="4"/>
        <v>0</v>
      </c>
      <c r="AG143">
        <f t="shared" si="5"/>
        <v>0</v>
      </c>
    </row>
    <row r="144" spans="1:33" x14ac:dyDescent="0.25">
      <c r="A144">
        <v>142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F144">
        <f t="shared" si="4"/>
        <v>29</v>
      </c>
      <c r="AG144">
        <f t="shared" si="5"/>
        <v>1</v>
      </c>
    </row>
    <row r="145" spans="1:33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F145">
        <f t="shared" si="4"/>
        <v>0</v>
      </c>
      <c r="AG145">
        <f t="shared" si="5"/>
        <v>0</v>
      </c>
    </row>
    <row r="146" spans="1:33" x14ac:dyDescent="0.25">
      <c r="A146">
        <v>144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F146">
        <f t="shared" si="4"/>
        <v>29</v>
      </c>
      <c r="AG146">
        <f t="shared" si="5"/>
        <v>1</v>
      </c>
    </row>
    <row r="147" spans="1:33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F147">
        <f t="shared" si="4"/>
        <v>0</v>
      </c>
      <c r="AG147">
        <f t="shared" si="5"/>
        <v>0</v>
      </c>
    </row>
    <row r="148" spans="1:33" x14ac:dyDescent="0.25">
      <c r="A148">
        <v>146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F148">
        <f t="shared" si="4"/>
        <v>29</v>
      </c>
      <c r="AG148">
        <f t="shared" si="5"/>
        <v>1</v>
      </c>
    </row>
    <row r="149" spans="1:33" x14ac:dyDescent="0.25">
      <c r="A149">
        <v>147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F149">
        <f t="shared" si="4"/>
        <v>29</v>
      </c>
      <c r="AG149">
        <f t="shared" si="5"/>
        <v>1</v>
      </c>
    </row>
    <row r="150" spans="1:33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F150">
        <f t="shared" si="4"/>
        <v>0</v>
      </c>
      <c r="AG150">
        <f t="shared" si="5"/>
        <v>0</v>
      </c>
    </row>
    <row r="151" spans="1:33" x14ac:dyDescent="0.25">
      <c r="A151">
        <v>149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F151">
        <f t="shared" si="4"/>
        <v>29</v>
      </c>
      <c r="AG151">
        <f t="shared" si="5"/>
        <v>1</v>
      </c>
    </row>
    <row r="152" spans="1:33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F152">
        <f t="shared" si="4"/>
        <v>0</v>
      </c>
      <c r="AG152">
        <f t="shared" si="5"/>
        <v>0</v>
      </c>
    </row>
    <row r="153" spans="1:33" x14ac:dyDescent="0.25">
      <c r="A153">
        <v>151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F153">
        <f t="shared" si="4"/>
        <v>29</v>
      </c>
      <c r="AG153">
        <f t="shared" si="5"/>
        <v>1</v>
      </c>
    </row>
    <row r="154" spans="1:33" x14ac:dyDescent="0.25">
      <c r="A154">
        <v>152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F154">
        <f t="shared" si="4"/>
        <v>29</v>
      </c>
      <c r="AG154">
        <f t="shared" si="5"/>
        <v>1</v>
      </c>
    </row>
    <row r="155" spans="1:33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>
        <v>1</v>
      </c>
      <c r="I155">
        <v>1</v>
      </c>
      <c r="J155" t="s">
        <v>4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F155">
        <f t="shared" si="4"/>
        <v>2</v>
      </c>
      <c r="AG155">
        <f t="shared" si="5"/>
        <v>6.8965517241379309E-2</v>
      </c>
    </row>
    <row r="156" spans="1:33" x14ac:dyDescent="0.25">
      <c r="A156">
        <v>154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F156">
        <f t="shared" si="4"/>
        <v>29</v>
      </c>
      <c r="AG156">
        <f t="shared" si="5"/>
        <v>1</v>
      </c>
    </row>
    <row r="157" spans="1:33" x14ac:dyDescent="0.25">
      <c r="A157">
        <v>155</v>
      </c>
      <c r="B157" t="s">
        <v>2</v>
      </c>
      <c r="C157" t="s">
        <v>2</v>
      </c>
      <c r="D157" t="s">
        <v>2</v>
      </c>
      <c r="E157" t="s">
        <v>2</v>
      </c>
      <c r="F157">
        <v>1</v>
      </c>
      <c r="G157" t="s">
        <v>2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F157">
        <f t="shared" si="4"/>
        <v>24</v>
      </c>
      <c r="AG157">
        <f t="shared" si="5"/>
        <v>0.82758620689655171</v>
      </c>
    </row>
    <row r="158" spans="1:33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F158">
        <f t="shared" si="4"/>
        <v>0</v>
      </c>
      <c r="AG158">
        <f t="shared" si="5"/>
        <v>0</v>
      </c>
    </row>
    <row r="159" spans="1:33" x14ac:dyDescent="0.25">
      <c r="A159">
        <v>157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F159">
        <f t="shared" si="4"/>
        <v>29</v>
      </c>
      <c r="AG159">
        <f t="shared" si="5"/>
        <v>1</v>
      </c>
    </row>
    <row r="160" spans="1:33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F160">
        <f t="shared" si="4"/>
        <v>0</v>
      </c>
      <c r="AG160">
        <f t="shared" si="5"/>
        <v>0</v>
      </c>
    </row>
    <row r="161" spans="1:33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F161">
        <f t="shared" si="4"/>
        <v>15</v>
      </c>
      <c r="AG161">
        <f t="shared" si="5"/>
        <v>0.51724137931034486</v>
      </c>
    </row>
    <row r="162" spans="1:33" x14ac:dyDescent="0.25">
      <c r="A162">
        <v>160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F162">
        <f t="shared" si="4"/>
        <v>29</v>
      </c>
      <c r="AG162">
        <f t="shared" si="5"/>
        <v>1</v>
      </c>
    </row>
    <row r="163" spans="1:33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2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U163" t="s">
        <v>2</v>
      </c>
      <c r="V163" t="s">
        <v>2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  <c r="AB163" t="s">
        <v>2</v>
      </c>
      <c r="AC163" t="s">
        <v>2</v>
      </c>
      <c r="AD163" t="s">
        <v>2</v>
      </c>
      <c r="AF163">
        <f t="shared" si="4"/>
        <v>0</v>
      </c>
      <c r="AG163">
        <f t="shared" si="5"/>
        <v>0</v>
      </c>
    </row>
    <row r="164" spans="1:33" x14ac:dyDescent="0.25">
      <c r="A164">
        <v>162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F164">
        <f t="shared" si="4"/>
        <v>29</v>
      </c>
      <c r="AG164">
        <f t="shared" si="5"/>
        <v>1</v>
      </c>
    </row>
    <row r="165" spans="1:33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F165">
        <f t="shared" si="4"/>
        <v>0</v>
      </c>
      <c r="AG165">
        <f t="shared" si="5"/>
        <v>0</v>
      </c>
    </row>
    <row r="166" spans="1:33" x14ac:dyDescent="0.25">
      <c r="A166">
        <v>164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F166">
        <f t="shared" si="4"/>
        <v>29</v>
      </c>
      <c r="AG166">
        <f t="shared" si="5"/>
        <v>1</v>
      </c>
    </row>
    <row r="167" spans="1:33" x14ac:dyDescent="0.25">
      <c r="A167">
        <v>165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F167">
        <f t="shared" si="4"/>
        <v>29</v>
      </c>
      <c r="AG167">
        <f t="shared" si="5"/>
        <v>1</v>
      </c>
    </row>
    <row r="168" spans="1:33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F168">
        <f t="shared" si="4"/>
        <v>25</v>
      </c>
      <c r="AG168">
        <f t="shared" si="5"/>
        <v>0.86206896551724133</v>
      </c>
    </row>
    <row r="169" spans="1:33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F169">
        <f t="shared" si="4"/>
        <v>0</v>
      </c>
      <c r="AG169">
        <f t="shared" si="5"/>
        <v>0</v>
      </c>
    </row>
    <row r="170" spans="1:33" x14ac:dyDescent="0.25">
      <c r="A170">
        <v>168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F170">
        <f t="shared" si="4"/>
        <v>29</v>
      </c>
      <c r="AG170">
        <f t="shared" si="5"/>
        <v>1</v>
      </c>
    </row>
    <row r="171" spans="1:33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F171">
        <f t="shared" si="4"/>
        <v>0</v>
      </c>
      <c r="AG171">
        <f t="shared" si="5"/>
        <v>0</v>
      </c>
    </row>
    <row r="172" spans="1:33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F172">
        <f t="shared" si="4"/>
        <v>22</v>
      </c>
      <c r="AG172">
        <f t="shared" si="5"/>
        <v>0.75862068965517238</v>
      </c>
    </row>
    <row r="173" spans="1:33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2</v>
      </c>
      <c r="G173" t="s">
        <v>2</v>
      </c>
      <c r="H173" t="s">
        <v>2</v>
      </c>
      <c r="I173" t="s">
        <v>2</v>
      </c>
      <c r="J173" t="s">
        <v>2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F173">
        <f t="shared" si="4"/>
        <v>0</v>
      </c>
      <c r="AG173">
        <f t="shared" si="5"/>
        <v>0</v>
      </c>
    </row>
    <row r="174" spans="1:33" x14ac:dyDescent="0.25">
      <c r="A174">
        <v>172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F174">
        <f t="shared" si="4"/>
        <v>29</v>
      </c>
      <c r="AG174">
        <f t="shared" si="5"/>
        <v>1</v>
      </c>
    </row>
    <row r="175" spans="1:33" x14ac:dyDescent="0.25">
      <c r="A175">
        <v>173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F175">
        <f t="shared" si="4"/>
        <v>29</v>
      </c>
      <c r="AG175">
        <f t="shared" si="5"/>
        <v>1</v>
      </c>
    </row>
    <row r="176" spans="1:33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F176">
        <f t="shared" si="4"/>
        <v>0</v>
      </c>
      <c r="AG176">
        <f t="shared" si="5"/>
        <v>0</v>
      </c>
    </row>
    <row r="177" spans="1:33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F177">
        <f t="shared" si="4"/>
        <v>0</v>
      </c>
      <c r="AG177">
        <f t="shared" si="5"/>
        <v>0</v>
      </c>
    </row>
    <row r="178" spans="1:33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2</v>
      </c>
      <c r="AD178" t="s">
        <v>2</v>
      </c>
      <c r="AF178">
        <f t="shared" si="4"/>
        <v>0</v>
      </c>
      <c r="AG178">
        <f t="shared" si="5"/>
        <v>0</v>
      </c>
    </row>
    <row r="179" spans="1:33" x14ac:dyDescent="0.25">
      <c r="A179">
        <v>177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F179">
        <f t="shared" si="4"/>
        <v>29</v>
      </c>
      <c r="AG179">
        <f t="shared" si="5"/>
        <v>1</v>
      </c>
    </row>
    <row r="180" spans="1:33" x14ac:dyDescent="0.25">
      <c r="A180">
        <v>178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F180">
        <f t="shared" si="4"/>
        <v>29</v>
      </c>
      <c r="AG180">
        <f t="shared" si="5"/>
        <v>1</v>
      </c>
    </row>
    <row r="181" spans="1:33" x14ac:dyDescent="0.25">
      <c r="A181">
        <v>179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F181">
        <f t="shared" si="4"/>
        <v>29</v>
      </c>
      <c r="AG181">
        <f t="shared" si="5"/>
        <v>1</v>
      </c>
    </row>
    <row r="182" spans="1:33" x14ac:dyDescent="0.25">
      <c r="A182">
        <v>180</v>
      </c>
      <c r="B182" t="s">
        <v>2</v>
      </c>
      <c r="C182">
        <v>1</v>
      </c>
      <c r="D182">
        <v>1</v>
      </c>
      <c r="E182">
        <v>1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F182">
        <f t="shared" si="4"/>
        <v>3</v>
      </c>
      <c r="AG182">
        <f t="shared" si="5"/>
        <v>0.10344827586206896</v>
      </c>
    </row>
    <row r="183" spans="1:33" x14ac:dyDescent="0.25">
      <c r="A183">
        <v>181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F183">
        <f t="shared" si="4"/>
        <v>29</v>
      </c>
      <c r="AG183">
        <f t="shared" si="5"/>
        <v>1</v>
      </c>
    </row>
    <row r="184" spans="1:33" x14ac:dyDescent="0.25">
      <c r="A184">
        <v>182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F184">
        <f t="shared" si="4"/>
        <v>29</v>
      </c>
      <c r="AG184">
        <f t="shared" si="5"/>
        <v>1</v>
      </c>
    </row>
    <row r="185" spans="1:33" x14ac:dyDescent="0.25">
      <c r="A185">
        <v>183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F185">
        <f t="shared" si="4"/>
        <v>29</v>
      </c>
      <c r="AG185">
        <f t="shared" si="5"/>
        <v>1</v>
      </c>
    </row>
    <row r="186" spans="1:33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2</v>
      </c>
      <c r="G186" t="s">
        <v>2</v>
      </c>
      <c r="H186" t="s">
        <v>2</v>
      </c>
      <c r="I186" t="s">
        <v>2</v>
      </c>
      <c r="J186" t="s">
        <v>2</v>
      </c>
      <c r="K186" t="s">
        <v>2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F186">
        <f t="shared" si="4"/>
        <v>0</v>
      </c>
      <c r="AG186">
        <f t="shared" si="5"/>
        <v>0</v>
      </c>
    </row>
    <row r="187" spans="1:33" x14ac:dyDescent="0.25">
      <c r="A187">
        <v>185</v>
      </c>
      <c r="B187" t="s">
        <v>2</v>
      </c>
      <c r="C187" t="s">
        <v>2</v>
      </c>
      <c r="D187" t="s">
        <v>2</v>
      </c>
      <c r="E187" t="s">
        <v>2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F187">
        <f t="shared" si="4"/>
        <v>0</v>
      </c>
      <c r="AG187">
        <f t="shared" si="5"/>
        <v>0</v>
      </c>
    </row>
    <row r="188" spans="1:33" x14ac:dyDescent="0.25">
      <c r="A188">
        <v>186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F188">
        <f t="shared" si="4"/>
        <v>29</v>
      </c>
      <c r="AG188">
        <f t="shared" si="5"/>
        <v>1</v>
      </c>
    </row>
    <row r="189" spans="1:33" x14ac:dyDescent="0.25">
      <c r="A189">
        <v>187</v>
      </c>
      <c r="B189" t="s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F189">
        <f t="shared" si="4"/>
        <v>28</v>
      </c>
      <c r="AG189">
        <f t="shared" si="5"/>
        <v>0.96551724137931039</v>
      </c>
    </row>
    <row r="190" spans="1:33" x14ac:dyDescent="0.25">
      <c r="A190">
        <v>188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 t="s">
        <v>2</v>
      </c>
      <c r="Q190" t="s">
        <v>2</v>
      </c>
      <c r="R190" t="s">
        <v>2</v>
      </c>
      <c r="S190" t="s">
        <v>2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F190">
        <f t="shared" si="4"/>
        <v>14</v>
      </c>
      <c r="AG190">
        <f t="shared" si="5"/>
        <v>0.48275862068965519</v>
      </c>
    </row>
    <row r="191" spans="1:33" x14ac:dyDescent="0.25">
      <c r="A191">
        <v>189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F191">
        <f t="shared" si="4"/>
        <v>29</v>
      </c>
      <c r="AG191">
        <f t="shared" si="5"/>
        <v>1</v>
      </c>
    </row>
    <row r="192" spans="1:33" x14ac:dyDescent="0.25">
      <c r="A192">
        <v>190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F192">
        <f t="shared" si="4"/>
        <v>29</v>
      </c>
      <c r="AG192">
        <f t="shared" si="5"/>
        <v>1</v>
      </c>
    </row>
    <row r="193" spans="1:33" x14ac:dyDescent="0.25">
      <c r="A193">
        <v>191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F193">
        <f t="shared" si="4"/>
        <v>29</v>
      </c>
      <c r="AG193">
        <f t="shared" si="5"/>
        <v>1</v>
      </c>
    </row>
    <row r="194" spans="1:33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F194">
        <f t="shared" si="4"/>
        <v>0</v>
      </c>
      <c r="AG194">
        <f t="shared" si="5"/>
        <v>0</v>
      </c>
    </row>
    <row r="195" spans="1:33" x14ac:dyDescent="0.25">
      <c r="A195">
        <v>193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F195">
        <f t="shared" ref="AF195:AF201" si="6">SUM(B195:AD195)</f>
        <v>29</v>
      </c>
      <c r="AG195">
        <f t="shared" ref="AG195:AG201" si="7">AF195/29</f>
        <v>1</v>
      </c>
    </row>
    <row r="196" spans="1:33" x14ac:dyDescent="0.25">
      <c r="A196">
        <v>194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F196">
        <f t="shared" si="6"/>
        <v>29</v>
      </c>
      <c r="AG196">
        <f t="shared" si="7"/>
        <v>1</v>
      </c>
    </row>
    <row r="197" spans="1:33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 t="s">
        <v>2</v>
      </c>
      <c r="O197" t="s">
        <v>2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F197">
        <f t="shared" si="6"/>
        <v>23</v>
      </c>
      <c r="AG197">
        <f t="shared" si="7"/>
        <v>0.7931034482758621</v>
      </c>
    </row>
    <row r="198" spans="1:33" x14ac:dyDescent="0.25">
      <c r="A198">
        <v>196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F198">
        <f t="shared" si="6"/>
        <v>29</v>
      </c>
      <c r="AG198">
        <f t="shared" si="7"/>
        <v>1</v>
      </c>
    </row>
    <row r="199" spans="1:33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F199">
        <f t="shared" si="6"/>
        <v>0</v>
      </c>
      <c r="AG199">
        <f t="shared" si="7"/>
        <v>0</v>
      </c>
    </row>
    <row r="200" spans="1:33" x14ac:dyDescent="0.25">
      <c r="A200">
        <v>198</v>
      </c>
      <c r="B200">
        <v>1</v>
      </c>
      <c r="C200">
        <v>1</v>
      </c>
      <c r="D200">
        <v>1</v>
      </c>
      <c r="E200">
        <v>1</v>
      </c>
      <c r="F200" t="s">
        <v>2</v>
      </c>
      <c r="G200" t="s">
        <v>2</v>
      </c>
      <c r="H200" t="s">
        <v>2</v>
      </c>
      <c r="I200" t="s">
        <v>2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 t="s">
        <v>2</v>
      </c>
      <c r="U200" t="s">
        <v>2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F200">
        <f t="shared" si="6"/>
        <v>23</v>
      </c>
      <c r="AG200">
        <f t="shared" si="7"/>
        <v>0.7931034482758621</v>
      </c>
    </row>
    <row r="201" spans="1:33" x14ac:dyDescent="0.25">
      <c r="A201">
        <v>199</v>
      </c>
      <c r="B201" t="s">
        <v>2</v>
      </c>
      <c r="C201" t="s">
        <v>2</v>
      </c>
      <c r="D201" t="s">
        <v>2</v>
      </c>
      <c r="E201" t="s">
        <v>2</v>
      </c>
      <c r="F201" t="s">
        <v>2</v>
      </c>
      <c r="G201" t="s">
        <v>2</v>
      </c>
      <c r="H201" t="s">
        <v>2</v>
      </c>
      <c r="I201" t="s">
        <v>2</v>
      </c>
      <c r="J201" t="s">
        <v>2</v>
      </c>
      <c r="K201" t="s">
        <v>2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F201">
        <f t="shared" si="6"/>
        <v>0</v>
      </c>
      <c r="AG201">
        <f t="shared" si="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7065-5274-47CE-9DB7-4047BDBA8B0B}">
  <dimension ref="A1:AH201"/>
  <sheetViews>
    <sheetView zoomScale="70" zoomScaleNormal="70" workbookViewId="0">
      <selection activeCell="N36" sqref="N36"/>
    </sheetView>
  </sheetViews>
  <sheetFormatPr baseColWidth="10" defaultRowHeight="15" x14ac:dyDescent="0.25"/>
  <cols>
    <col min="31" max="31" width="4.140625" customWidth="1"/>
  </cols>
  <sheetData>
    <row r="1" spans="1:34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F1">
        <v>0</v>
      </c>
      <c r="AG1" t="s">
        <v>4</v>
      </c>
      <c r="AH1" t="s">
        <v>24</v>
      </c>
    </row>
    <row r="2" spans="1:34" x14ac:dyDescent="0.25">
      <c r="A2">
        <v>0</v>
      </c>
      <c r="B2" t="s">
        <v>2</v>
      </c>
      <c r="C2" t="s">
        <v>3</v>
      </c>
      <c r="D2" t="s">
        <v>3</v>
      </c>
      <c r="E2" t="s">
        <v>3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G2">
        <f>SUM(B2:AD2)</f>
        <v>0</v>
      </c>
      <c r="AH2">
        <f>AG2/29</f>
        <v>0</v>
      </c>
    </row>
    <row r="3" spans="1:34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G3">
        <f>SUM(B3:AD3)</f>
        <v>0</v>
      </c>
      <c r="AH3">
        <f t="shared" ref="AH3:AH66" si="0">AG3/29</f>
        <v>0</v>
      </c>
    </row>
    <row r="4" spans="1:34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G4">
        <f t="shared" ref="AG4:AG67" si="1">SUM(B4:AD4)</f>
        <v>0</v>
      </c>
      <c r="AH4">
        <f t="shared" si="0"/>
        <v>0</v>
      </c>
    </row>
    <row r="5" spans="1:34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G5">
        <f t="shared" si="1"/>
        <v>0</v>
      </c>
      <c r="AH5">
        <f t="shared" si="0"/>
        <v>0</v>
      </c>
    </row>
    <row r="6" spans="1:34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G6">
        <f t="shared" si="1"/>
        <v>6</v>
      </c>
      <c r="AH6">
        <f t="shared" si="0"/>
        <v>0.20689655172413793</v>
      </c>
    </row>
    <row r="7" spans="1:34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3</v>
      </c>
      <c r="W7" t="s">
        <v>3</v>
      </c>
      <c r="X7" t="s">
        <v>3</v>
      </c>
      <c r="Y7" t="s">
        <v>3</v>
      </c>
      <c r="Z7" t="s">
        <v>3</v>
      </c>
      <c r="AA7" t="s">
        <v>3</v>
      </c>
      <c r="AB7" t="s">
        <v>3</v>
      </c>
      <c r="AC7" t="s">
        <v>3</v>
      </c>
      <c r="AD7" t="s">
        <v>3</v>
      </c>
      <c r="AG7">
        <f t="shared" si="1"/>
        <v>0</v>
      </c>
      <c r="AH7">
        <f t="shared" si="0"/>
        <v>0</v>
      </c>
    </row>
    <row r="8" spans="1:34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G8">
        <f t="shared" si="1"/>
        <v>0</v>
      </c>
      <c r="AH8">
        <f t="shared" si="0"/>
        <v>0</v>
      </c>
    </row>
    <row r="9" spans="1:34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G9">
        <f t="shared" si="1"/>
        <v>0</v>
      </c>
      <c r="AH9">
        <f t="shared" si="0"/>
        <v>0</v>
      </c>
    </row>
    <row r="10" spans="1:34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G10">
        <f t="shared" si="1"/>
        <v>0</v>
      </c>
      <c r="AH10">
        <f t="shared" si="0"/>
        <v>0</v>
      </c>
    </row>
    <row r="11" spans="1:34" x14ac:dyDescent="0.25">
      <c r="A11">
        <v>9</v>
      </c>
      <c r="B11" t="s">
        <v>2</v>
      </c>
      <c r="C11" t="s">
        <v>2</v>
      </c>
      <c r="D11" t="s">
        <v>2</v>
      </c>
      <c r="E11" t="s">
        <v>2</v>
      </c>
      <c r="F11" t="s">
        <v>3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G11">
        <f t="shared" si="1"/>
        <v>0</v>
      </c>
      <c r="AH11">
        <f t="shared" si="0"/>
        <v>0</v>
      </c>
    </row>
    <row r="12" spans="1:34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G12">
        <f t="shared" si="1"/>
        <v>0</v>
      </c>
      <c r="AH12">
        <f t="shared" si="0"/>
        <v>0</v>
      </c>
    </row>
    <row r="13" spans="1:34" x14ac:dyDescent="0.25">
      <c r="A13">
        <v>11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G13">
        <f t="shared" si="1"/>
        <v>0</v>
      </c>
      <c r="AH13">
        <f t="shared" si="0"/>
        <v>0</v>
      </c>
    </row>
    <row r="14" spans="1:34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G14">
        <f t="shared" si="1"/>
        <v>0</v>
      </c>
      <c r="AH14">
        <f t="shared" si="0"/>
        <v>0</v>
      </c>
    </row>
    <row r="15" spans="1:34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G15">
        <f t="shared" si="1"/>
        <v>0</v>
      </c>
      <c r="AH15">
        <f t="shared" si="0"/>
        <v>0</v>
      </c>
    </row>
    <row r="16" spans="1:34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G16">
        <f t="shared" si="1"/>
        <v>0</v>
      </c>
      <c r="AH16">
        <f t="shared" si="0"/>
        <v>0</v>
      </c>
    </row>
    <row r="17" spans="1:34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G17">
        <f t="shared" si="1"/>
        <v>0</v>
      </c>
      <c r="AH17">
        <f t="shared" si="0"/>
        <v>0</v>
      </c>
    </row>
    <row r="18" spans="1:34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G18">
        <f t="shared" si="1"/>
        <v>0</v>
      </c>
      <c r="AH18">
        <f t="shared" si="0"/>
        <v>0</v>
      </c>
    </row>
    <row r="19" spans="1:34" x14ac:dyDescent="0.25">
      <c r="A19">
        <v>17</v>
      </c>
      <c r="B19" t="s">
        <v>2</v>
      </c>
      <c r="C19" t="s">
        <v>2</v>
      </c>
      <c r="D19" t="s">
        <v>2</v>
      </c>
      <c r="E19" t="s">
        <v>2</v>
      </c>
      <c r="F19" t="s">
        <v>3</v>
      </c>
      <c r="G19" t="s">
        <v>3</v>
      </c>
      <c r="H19" t="s">
        <v>3</v>
      </c>
      <c r="I19" t="s">
        <v>3</v>
      </c>
      <c r="J19">
        <v>1</v>
      </c>
      <c r="K19">
        <v>1</v>
      </c>
      <c r="L19">
        <v>1</v>
      </c>
      <c r="M19">
        <v>1</v>
      </c>
      <c r="N19" t="s">
        <v>3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G19">
        <f t="shared" si="1"/>
        <v>4</v>
      </c>
      <c r="AH19">
        <f t="shared" si="0"/>
        <v>0.13793103448275862</v>
      </c>
    </row>
    <row r="20" spans="1:34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G20">
        <f t="shared" si="1"/>
        <v>0</v>
      </c>
      <c r="AH20">
        <f t="shared" si="0"/>
        <v>0</v>
      </c>
    </row>
    <row r="21" spans="1:34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G21">
        <f t="shared" si="1"/>
        <v>0</v>
      </c>
      <c r="AH21">
        <f t="shared" si="0"/>
        <v>0</v>
      </c>
    </row>
    <row r="22" spans="1:34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G22">
        <f t="shared" si="1"/>
        <v>0</v>
      </c>
      <c r="AH22">
        <f t="shared" si="0"/>
        <v>0</v>
      </c>
    </row>
    <row r="23" spans="1:34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G23">
        <f t="shared" si="1"/>
        <v>0</v>
      </c>
      <c r="AH23">
        <f t="shared" si="0"/>
        <v>0</v>
      </c>
    </row>
    <row r="24" spans="1:34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G24">
        <f t="shared" si="1"/>
        <v>0</v>
      </c>
      <c r="AH24">
        <f t="shared" si="0"/>
        <v>0</v>
      </c>
    </row>
    <row r="25" spans="1:34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G25">
        <f t="shared" si="1"/>
        <v>0</v>
      </c>
      <c r="AH25">
        <f t="shared" si="0"/>
        <v>0</v>
      </c>
    </row>
    <row r="26" spans="1:34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G26">
        <f t="shared" si="1"/>
        <v>0</v>
      </c>
      <c r="AH26">
        <f t="shared" si="0"/>
        <v>0</v>
      </c>
    </row>
    <row r="27" spans="1:34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G27">
        <f t="shared" si="1"/>
        <v>0</v>
      </c>
      <c r="AH27">
        <f t="shared" si="0"/>
        <v>0</v>
      </c>
    </row>
    <row r="28" spans="1:34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3</v>
      </c>
      <c r="Q28" t="s">
        <v>3</v>
      </c>
      <c r="R28" t="s">
        <v>3</v>
      </c>
      <c r="S28" t="s">
        <v>3</v>
      </c>
      <c r="T28" t="s">
        <v>3</v>
      </c>
      <c r="U28" t="s">
        <v>3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G28">
        <f t="shared" si="1"/>
        <v>0</v>
      </c>
      <c r="AH28">
        <f t="shared" si="0"/>
        <v>0</v>
      </c>
    </row>
    <row r="29" spans="1:34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G29">
        <f t="shared" si="1"/>
        <v>0</v>
      </c>
      <c r="AH29">
        <f t="shared" si="0"/>
        <v>0</v>
      </c>
    </row>
    <row r="30" spans="1:34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G30">
        <f t="shared" si="1"/>
        <v>0</v>
      </c>
      <c r="AH30">
        <f t="shared" si="0"/>
        <v>0</v>
      </c>
    </row>
    <row r="31" spans="1:34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3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G31">
        <f t="shared" si="1"/>
        <v>7</v>
      </c>
      <c r="AH31">
        <f t="shared" si="0"/>
        <v>0.2413793103448276</v>
      </c>
    </row>
    <row r="32" spans="1:34" x14ac:dyDescent="0.25">
      <c r="A32">
        <v>30</v>
      </c>
      <c r="B32" t="s">
        <v>2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G32">
        <f t="shared" si="1"/>
        <v>0</v>
      </c>
      <c r="AH32">
        <f t="shared" si="0"/>
        <v>0</v>
      </c>
    </row>
    <row r="33" spans="1:34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G33">
        <f t="shared" si="1"/>
        <v>0</v>
      </c>
      <c r="AH33">
        <f t="shared" si="0"/>
        <v>0</v>
      </c>
    </row>
    <row r="34" spans="1:34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G34">
        <f t="shared" si="1"/>
        <v>0</v>
      </c>
      <c r="AH34">
        <f t="shared" si="0"/>
        <v>0</v>
      </c>
    </row>
    <row r="35" spans="1:34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G35">
        <f t="shared" si="1"/>
        <v>0</v>
      </c>
      <c r="AH35">
        <f t="shared" si="0"/>
        <v>0</v>
      </c>
    </row>
    <row r="36" spans="1:34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G36">
        <f t="shared" si="1"/>
        <v>0</v>
      </c>
      <c r="AH36">
        <f t="shared" si="0"/>
        <v>0</v>
      </c>
    </row>
    <row r="37" spans="1:34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G37">
        <f t="shared" si="1"/>
        <v>0</v>
      </c>
      <c r="AH37">
        <f t="shared" si="0"/>
        <v>0</v>
      </c>
    </row>
    <row r="38" spans="1:34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G38">
        <f t="shared" si="1"/>
        <v>0</v>
      </c>
      <c r="AH38">
        <f t="shared" si="0"/>
        <v>0</v>
      </c>
    </row>
    <row r="39" spans="1:34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2</v>
      </c>
      <c r="O39" t="s">
        <v>2</v>
      </c>
      <c r="P39" t="s">
        <v>3</v>
      </c>
      <c r="Q39" t="s">
        <v>3</v>
      </c>
      <c r="R39" t="s">
        <v>2</v>
      </c>
      <c r="S39" t="s">
        <v>2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G39">
        <f t="shared" si="1"/>
        <v>0</v>
      </c>
      <c r="AH39">
        <f t="shared" si="0"/>
        <v>0</v>
      </c>
    </row>
    <row r="40" spans="1:34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G40">
        <f t="shared" si="1"/>
        <v>0</v>
      </c>
      <c r="AH40">
        <f t="shared" si="0"/>
        <v>0</v>
      </c>
    </row>
    <row r="41" spans="1:34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G41">
        <f t="shared" si="1"/>
        <v>0</v>
      </c>
      <c r="AH41">
        <f t="shared" si="0"/>
        <v>0</v>
      </c>
    </row>
    <row r="42" spans="1:34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G42">
        <f t="shared" si="1"/>
        <v>0</v>
      </c>
      <c r="AH42">
        <f t="shared" si="0"/>
        <v>0</v>
      </c>
    </row>
    <row r="43" spans="1:34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G43">
        <f t="shared" si="1"/>
        <v>0</v>
      </c>
      <c r="AH43">
        <f t="shared" si="0"/>
        <v>0</v>
      </c>
    </row>
    <row r="44" spans="1:34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G44">
        <f t="shared" si="1"/>
        <v>0</v>
      </c>
      <c r="AH44">
        <f t="shared" si="0"/>
        <v>0</v>
      </c>
    </row>
    <row r="45" spans="1:34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G45">
        <f t="shared" si="1"/>
        <v>0</v>
      </c>
      <c r="AH45">
        <f t="shared" si="0"/>
        <v>0</v>
      </c>
    </row>
    <row r="46" spans="1:34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>
        <v>1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G46">
        <f t="shared" si="1"/>
        <v>1</v>
      </c>
      <c r="AH46">
        <f t="shared" si="0"/>
        <v>3.4482758620689655E-2</v>
      </c>
    </row>
    <row r="47" spans="1:34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3</v>
      </c>
      <c r="G47" t="s">
        <v>2</v>
      </c>
      <c r="H47" t="s">
        <v>2</v>
      </c>
      <c r="I47" t="s">
        <v>2</v>
      </c>
      <c r="J47" t="s">
        <v>3</v>
      </c>
      <c r="K47" t="s">
        <v>3</v>
      </c>
      <c r="L47" t="s">
        <v>3</v>
      </c>
      <c r="M47" t="s">
        <v>3</v>
      </c>
      <c r="N47" t="s">
        <v>2</v>
      </c>
      <c r="O47" t="s">
        <v>2</v>
      </c>
      <c r="P47" t="s">
        <v>3</v>
      </c>
      <c r="Q47" t="s">
        <v>3</v>
      </c>
      <c r="R47" t="s">
        <v>3</v>
      </c>
      <c r="S47" t="s">
        <v>3</v>
      </c>
      <c r="T47" t="s">
        <v>2</v>
      </c>
      <c r="U47" t="s">
        <v>2</v>
      </c>
      <c r="V47" t="s">
        <v>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G47">
        <f t="shared" si="1"/>
        <v>0</v>
      </c>
      <c r="AH47">
        <f t="shared" si="0"/>
        <v>0</v>
      </c>
    </row>
    <row r="48" spans="1:34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G48">
        <f t="shared" si="1"/>
        <v>0</v>
      </c>
      <c r="AH48">
        <f t="shared" si="0"/>
        <v>0</v>
      </c>
    </row>
    <row r="49" spans="1:34" x14ac:dyDescent="0.25">
      <c r="A49">
        <v>47</v>
      </c>
      <c r="B49" t="s">
        <v>2</v>
      </c>
      <c r="C49" t="s">
        <v>2</v>
      </c>
      <c r="D49" t="s">
        <v>2</v>
      </c>
      <c r="E49" t="s">
        <v>2</v>
      </c>
      <c r="F49" t="s">
        <v>3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 t="s">
        <v>2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G49">
        <f t="shared" si="1"/>
        <v>0</v>
      </c>
      <c r="AH49">
        <f t="shared" si="0"/>
        <v>0</v>
      </c>
    </row>
    <row r="50" spans="1:34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G50">
        <f t="shared" si="1"/>
        <v>0</v>
      </c>
      <c r="AH50">
        <f t="shared" si="0"/>
        <v>0</v>
      </c>
    </row>
    <row r="51" spans="1:34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G51">
        <f t="shared" si="1"/>
        <v>0</v>
      </c>
      <c r="AH51">
        <f t="shared" si="0"/>
        <v>0</v>
      </c>
    </row>
    <row r="52" spans="1:34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G52">
        <f t="shared" si="1"/>
        <v>0</v>
      </c>
      <c r="AH52">
        <f t="shared" si="0"/>
        <v>0</v>
      </c>
    </row>
    <row r="53" spans="1:34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G53">
        <f t="shared" si="1"/>
        <v>0</v>
      </c>
      <c r="AH53">
        <f t="shared" si="0"/>
        <v>0</v>
      </c>
    </row>
    <row r="54" spans="1:34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G54">
        <f t="shared" si="1"/>
        <v>0</v>
      </c>
      <c r="AH54">
        <f t="shared" si="0"/>
        <v>0</v>
      </c>
    </row>
    <row r="55" spans="1:34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G55">
        <f t="shared" si="1"/>
        <v>0</v>
      </c>
      <c r="AH55">
        <f t="shared" si="0"/>
        <v>0</v>
      </c>
    </row>
    <row r="56" spans="1:34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G56">
        <f t="shared" si="1"/>
        <v>0</v>
      </c>
      <c r="AH56">
        <f t="shared" si="0"/>
        <v>0</v>
      </c>
    </row>
    <row r="57" spans="1:34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G57">
        <f t="shared" si="1"/>
        <v>0</v>
      </c>
      <c r="AH57">
        <f t="shared" si="0"/>
        <v>0</v>
      </c>
    </row>
    <row r="58" spans="1:34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2</v>
      </c>
      <c r="X58" t="s">
        <v>2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G58">
        <f t="shared" si="1"/>
        <v>0</v>
      </c>
      <c r="AH58">
        <f t="shared" si="0"/>
        <v>0</v>
      </c>
    </row>
    <row r="59" spans="1:34" x14ac:dyDescent="0.25">
      <c r="A59">
        <v>57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G59">
        <f t="shared" si="1"/>
        <v>0</v>
      </c>
      <c r="AH59">
        <f t="shared" si="0"/>
        <v>0</v>
      </c>
    </row>
    <row r="60" spans="1:34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G60">
        <f t="shared" si="1"/>
        <v>0</v>
      </c>
      <c r="AH60">
        <f t="shared" si="0"/>
        <v>0</v>
      </c>
    </row>
    <row r="61" spans="1:34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G61">
        <f t="shared" si="1"/>
        <v>0</v>
      </c>
      <c r="AH61">
        <f t="shared" si="0"/>
        <v>0</v>
      </c>
    </row>
    <row r="62" spans="1:34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 t="s">
        <v>2</v>
      </c>
      <c r="J62" t="s">
        <v>2</v>
      </c>
      <c r="K62" t="s">
        <v>2</v>
      </c>
      <c r="L62" t="s">
        <v>2</v>
      </c>
      <c r="M62" t="s">
        <v>3</v>
      </c>
      <c r="N62" t="s">
        <v>2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 t="s">
        <v>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G62">
        <f t="shared" si="1"/>
        <v>0</v>
      </c>
      <c r="AH62">
        <f t="shared" si="0"/>
        <v>0</v>
      </c>
    </row>
    <row r="63" spans="1:34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 t="s">
        <v>3</v>
      </c>
      <c r="G63" t="s">
        <v>3</v>
      </c>
      <c r="H63" t="s">
        <v>3</v>
      </c>
      <c r="I63" t="s">
        <v>3</v>
      </c>
      <c r="J63" t="s">
        <v>2</v>
      </c>
      <c r="K63" t="s">
        <v>2</v>
      </c>
      <c r="L63" t="s">
        <v>3</v>
      </c>
      <c r="M63" t="s">
        <v>3</v>
      </c>
      <c r="N63" t="s">
        <v>2</v>
      </c>
      <c r="O63" t="s">
        <v>2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3</v>
      </c>
      <c r="AA63" t="s">
        <v>3</v>
      </c>
      <c r="AB63" t="s">
        <v>3</v>
      </c>
      <c r="AC63" t="s">
        <v>3</v>
      </c>
      <c r="AD63" t="s">
        <v>3</v>
      </c>
      <c r="AG63">
        <f t="shared" si="1"/>
        <v>0</v>
      </c>
      <c r="AH63">
        <f t="shared" si="0"/>
        <v>0</v>
      </c>
    </row>
    <row r="64" spans="1:34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3</v>
      </c>
      <c r="I64">
        <v>1</v>
      </c>
      <c r="J64">
        <v>1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G64">
        <f t="shared" si="1"/>
        <v>2</v>
      </c>
      <c r="AH64">
        <f t="shared" si="0"/>
        <v>6.8965517241379309E-2</v>
      </c>
    </row>
    <row r="65" spans="1:34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G65">
        <f t="shared" si="1"/>
        <v>0</v>
      </c>
      <c r="AH65">
        <f t="shared" si="0"/>
        <v>0</v>
      </c>
    </row>
    <row r="66" spans="1:34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G66">
        <f t="shared" si="1"/>
        <v>0</v>
      </c>
      <c r="AH66">
        <f t="shared" si="0"/>
        <v>0</v>
      </c>
    </row>
    <row r="67" spans="1:34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G67">
        <f t="shared" si="1"/>
        <v>0</v>
      </c>
      <c r="AH67">
        <f t="shared" ref="AH67:AH130" si="2">AG67/29</f>
        <v>0</v>
      </c>
    </row>
    <row r="68" spans="1:34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G68">
        <f t="shared" ref="AG68:AG131" si="3">SUM(B68:AD68)</f>
        <v>0</v>
      </c>
      <c r="AH68">
        <f t="shared" si="2"/>
        <v>0</v>
      </c>
    </row>
    <row r="69" spans="1:34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G69">
        <f t="shared" si="3"/>
        <v>0</v>
      </c>
      <c r="AH69">
        <f t="shared" si="2"/>
        <v>0</v>
      </c>
    </row>
    <row r="70" spans="1:34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G70">
        <f t="shared" si="3"/>
        <v>0</v>
      </c>
      <c r="AH70">
        <f t="shared" si="2"/>
        <v>0</v>
      </c>
    </row>
    <row r="71" spans="1:34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3</v>
      </c>
      <c r="G71" t="s">
        <v>3</v>
      </c>
      <c r="H71" t="s">
        <v>3</v>
      </c>
      <c r="I71" t="s">
        <v>3</v>
      </c>
      <c r="J71" t="s">
        <v>3</v>
      </c>
      <c r="K71" t="s">
        <v>3</v>
      </c>
      <c r="L71" t="s">
        <v>3</v>
      </c>
      <c r="M71" t="s">
        <v>3</v>
      </c>
      <c r="N71" t="s">
        <v>3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G71">
        <f t="shared" si="3"/>
        <v>0</v>
      </c>
      <c r="AH71">
        <f t="shared" si="2"/>
        <v>0</v>
      </c>
    </row>
    <row r="72" spans="1:34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G72">
        <f t="shared" si="3"/>
        <v>0</v>
      </c>
      <c r="AH72">
        <f t="shared" si="2"/>
        <v>0</v>
      </c>
    </row>
    <row r="73" spans="1:34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G73">
        <f t="shared" si="3"/>
        <v>0</v>
      </c>
      <c r="AH73">
        <f t="shared" si="2"/>
        <v>0</v>
      </c>
    </row>
    <row r="74" spans="1:34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G74">
        <f t="shared" si="3"/>
        <v>0</v>
      </c>
      <c r="AH74">
        <f t="shared" si="2"/>
        <v>0</v>
      </c>
    </row>
    <row r="75" spans="1:34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G75">
        <f t="shared" si="3"/>
        <v>0</v>
      </c>
      <c r="AH75">
        <f t="shared" si="2"/>
        <v>0</v>
      </c>
    </row>
    <row r="76" spans="1:34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G76">
        <f t="shared" si="3"/>
        <v>0</v>
      </c>
      <c r="AH76">
        <f t="shared" si="2"/>
        <v>0</v>
      </c>
    </row>
    <row r="77" spans="1:34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G77">
        <f t="shared" si="3"/>
        <v>0</v>
      </c>
      <c r="AH77">
        <f t="shared" si="2"/>
        <v>0</v>
      </c>
    </row>
    <row r="78" spans="1:34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G78">
        <f t="shared" si="3"/>
        <v>0</v>
      </c>
      <c r="AH78">
        <f t="shared" si="2"/>
        <v>0</v>
      </c>
    </row>
    <row r="79" spans="1:34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G79">
        <f t="shared" si="3"/>
        <v>0</v>
      </c>
      <c r="AH79">
        <f t="shared" si="2"/>
        <v>0</v>
      </c>
    </row>
    <row r="80" spans="1:34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G80">
        <f t="shared" si="3"/>
        <v>0</v>
      </c>
      <c r="AH80">
        <f t="shared" si="2"/>
        <v>0</v>
      </c>
    </row>
    <row r="81" spans="1:34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G81">
        <f t="shared" si="3"/>
        <v>0</v>
      </c>
      <c r="AH81">
        <f t="shared" si="2"/>
        <v>0</v>
      </c>
    </row>
    <row r="82" spans="1:34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G82">
        <f t="shared" si="3"/>
        <v>0</v>
      </c>
      <c r="AH82">
        <f t="shared" si="2"/>
        <v>0</v>
      </c>
    </row>
    <row r="83" spans="1:34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G83">
        <f t="shared" si="3"/>
        <v>0</v>
      </c>
      <c r="AH83">
        <f t="shared" si="2"/>
        <v>0</v>
      </c>
    </row>
    <row r="84" spans="1:34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G84">
        <f t="shared" si="3"/>
        <v>0</v>
      </c>
      <c r="AH84">
        <f t="shared" si="2"/>
        <v>0</v>
      </c>
    </row>
    <row r="85" spans="1:34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G85">
        <f t="shared" si="3"/>
        <v>0</v>
      </c>
      <c r="AH85">
        <f t="shared" si="2"/>
        <v>0</v>
      </c>
    </row>
    <row r="86" spans="1:34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G86">
        <f t="shared" si="3"/>
        <v>0</v>
      </c>
      <c r="AH86">
        <f t="shared" si="2"/>
        <v>0</v>
      </c>
    </row>
    <row r="87" spans="1:34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G87">
        <f t="shared" si="3"/>
        <v>0</v>
      </c>
      <c r="AH87">
        <f t="shared" si="2"/>
        <v>0</v>
      </c>
    </row>
    <row r="88" spans="1:34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G88">
        <f t="shared" si="3"/>
        <v>0</v>
      </c>
      <c r="AH88">
        <f t="shared" si="2"/>
        <v>0</v>
      </c>
    </row>
    <row r="89" spans="1:34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G89">
        <f t="shared" si="3"/>
        <v>0</v>
      </c>
      <c r="AH89">
        <f t="shared" si="2"/>
        <v>0</v>
      </c>
    </row>
    <row r="90" spans="1:34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G90">
        <f t="shared" si="3"/>
        <v>0</v>
      </c>
      <c r="AH90">
        <f t="shared" si="2"/>
        <v>0</v>
      </c>
    </row>
    <row r="91" spans="1:34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G91">
        <f t="shared" si="3"/>
        <v>0</v>
      </c>
      <c r="AH91">
        <f t="shared" si="2"/>
        <v>0</v>
      </c>
    </row>
    <row r="92" spans="1:34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G92">
        <f t="shared" si="3"/>
        <v>0</v>
      </c>
      <c r="AH92">
        <f t="shared" si="2"/>
        <v>0</v>
      </c>
    </row>
    <row r="93" spans="1:34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3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>
        <v>1</v>
      </c>
      <c r="X93" t="s">
        <v>3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G93">
        <f t="shared" si="3"/>
        <v>14</v>
      </c>
      <c r="AH93">
        <f t="shared" si="2"/>
        <v>0.48275862068965519</v>
      </c>
    </row>
    <row r="94" spans="1:34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G94">
        <f t="shared" si="3"/>
        <v>0</v>
      </c>
      <c r="AH94">
        <f t="shared" si="2"/>
        <v>0</v>
      </c>
    </row>
    <row r="95" spans="1:34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G95">
        <f t="shared" si="3"/>
        <v>0</v>
      </c>
      <c r="AH95">
        <f t="shared" si="2"/>
        <v>0</v>
      </c>
    </row>
    <row r="96" spans="1:34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G96">
        <f t="shared" si="3"/>
        <v>0</v>
      </c>
      <c r="AH96">
        <f t="shared" si="2"/>
        <v>0</v>
      </c>
    </row>
    <row r="97" spans="1:34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  <c r="M97" t="s">
        <v>3</v>
      </c>
      <c r="N97" t="s">
        <v>3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3</v>
      </c>
      <c r="X97" t="s">
        <v>3</v>
      </c>
      <c r="Y97" t="s">
        <v>3</v>
      </c>
      <c r="Z97" t="s">
        <v>3</v>
      </c>
      <c r="AA97" t="s">
        <v>3</v>
      </c>
      <c r="AB97" t="s">
        <v>3</v>
      </c>
      <c r="AC97" t="s">
        <v>3</v>
      </c>
      <c r="AD97" t="s">
        <v>3</v>
      </c>
      <c r="AG97">
        <f t="shared" si="3"/>
        <v>0</v>
      </c>
      <c r="AH97">
        <f t="shared" si="2"/>
        <v>0</v>
      </c>
    </row>
    <row r="98" spans="1:34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G98">
        <f t="shared" si="3"/>
        <v>0</v>
      </c>
      <c r="AH98">
        <f t="shared" si="2"/>
        <v>0</v>
      </c>
    </row>
    <row r="99" spans="1:34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G99">
        <f t="shared" si="3"/>
        <v>0</v>
      </c>
      <c r="AH99">
        <f t="shared" si="2"/>
        <v>0</v>
      </c>
    </row>
    <row r="100" spans="1:34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2</v>
      </c>
      <c r="G100" t="s">
        <v>2</v>
      </c>
      <c r="H100" t="s">
        <v>2</v>
      </c>
      <c r="I100" t="s">
        <v>2</v>
      </c>
      <c r="J100" t="s">
        <v>2</v>
      </c>
      <c r="K100" t="s">
        <v>2</v>
      </c>
      <c r="L100" t="s">
        <v>2</v>
      </c>
      <c r="M100" t="s">
        <v>2</v>
      </c>
      <c r="N100" t="s">
        <v>2</v>
      </c>
      <c r="O100" t="s">
        <v>2</v>
      </c>
      <c r="P100" t="s">
        <v>2</v>
      </c>
      <c r="Q100" t="s">
        <v>2</v>
      </c>
      <c r="R100" t="s">
        <v>2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G100">
        <f t="shared" si="3"/>
        <v>0</v>
      </c>
      <c r="AH100">
        <f t="shared" si="2"/>
        <v>0</v>
      </c>
    </row>
    <row r="101" spans="1:34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G101">
        <f t="shared" si="3"/>
        <v>0</v>
      </c>
      <c r="AH101">
        <f t="shared" si="2"/>
        <v>0</v>
      </c>
    </row>
    <row r="102" spans="1:34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G102">
        <f t="shared" si="3"/>
        <v>0</v>
      </c>
      <c r="AH102">
        <f t="shared" si="2"/>
        <v>0</v>
      </c>
    </row>
    <row r="103" spans="1:34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G103">
        <f t="shared" si="3"/>
        <v>0</v>
      </c>
      <c r="AH103">
        <f t="shared" si="2"/>
        <v>0</v>
      </c>
    </row>
    <row r="104" spans="1:34" x14ac:dyDescent="0.25">
      <c r="A104">
        <v>102</v>
      </c>
      <c r="B104" t="s">
        <v>2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G104">
        <f t="shared" si="3"/>
        <v>0</v>
      </c>
      <c r="AH104">
        <f t="shared" si="2"/>
        <v>0</v>
      </c>
    </row>
    <row r="105" spans="1:34" x14ac:dyDescent="0.25">
      <c r="A105">
        <v>103</v>
      </c>
      <c r="B105" t="s">
        <v>3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3</v>
      </c>
      <c r="N105" t="s">
        <v>3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G105">
        <f t="shared" si="3"/>
        <v>0</v>
      </c>
      <c r="AH105">
        <f t="shared" si="2"/>
        <v>0</v>
      </c>
    </row>
    <row r="106" spans="1:34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G106">
        <f t="shared" si="3"/>
        <v>0</v>
      </c>
      <c r="AH106">
        <f t="shared" si="2"/>
        <v>0</v>
      </c>
    </row>
    <row r="107" spans="1:34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 t="s">
        <v>2</v>
      </c>
      <c r="V107" t="s">
        <v>2</v>
      </c>
      <c r="W107" t="s">
        <v>2</v>
      </c>
      <c r="X107" t="s">
        <v>2</v>
      </c>
      <c r="Y107" t="s">
        <v>2</v>
      </c>
      <c r="Z107" t="s">
        <v>2</v>
      </c>
      <c r="AA107" t="s">
        <v>2</v>
      </c>
      <c r="AB107" t="s">
        <v>2</v>
      </c>
      <c r="AC107" t="s">
        <v>2</v>
      </c>
      <c r="AD107" t="s">
        <v>2</v>
      </c>
      <c r="AG107">
        <f t="shared" si="3"/>
        <v>0</v>
      </c>
      <c r="AH107">
        <f t="shared" si="2"/>
        <v>0</v>
      </c>
    </row>
    <row r="108" spans="1:34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G108">
        <f t="shared" si="3"/>
        <v>0</v>
      </c>
      <c r="AH108">
        <f t="shared" si="2"/>
        <v>0</v>
      </c>
    </row>
    <row r="109" spans="1:34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G109">
        <f t="shared" si="3"/>
        <v>0</v>
      </c>
      <c r="AH109">
        <f t="shared" si="2"/>
        <v>0</v>
      </c>
    </row>
    <row r="110" spans="1:34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G110">
        <f t="shared" si="3"/>
        <v>0</v>
      </c>
      <c r="AH110">
        <f t="shared" si="2"/>
        <v>0</v>
      </c>
    </row>
    <row r="111" spans="1:34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G111">
        <f t="shared" si="3"/>
        <v>0</v>
      </c>
      <c r="AH111">
        <f t="shared" si="2"/>
        <v>0</v>
      </c>
    </row>
    <row r="112" spans="1:34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G112">
        <f t="shared" si="3"/>
        <v>0</v>
      </c>
      <c r="AH112">
        <f t="shared" si="2"/>
        <v>0</v>
      </c>
    </row>
    <row r="113" spans="1:34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G113">
        <f t="shared" si="3"/>
        <v>0</v>
      </c>
      <c r="AH113">
        <f t="shared" si="2"/>
        <v>0</v>
      </c>
    </row>
    <row r="114" spans="1:34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G114">
        <f t="shared" si="3"/>
        <v>0</v>
      </c>
      <c r="AH114">
        <f t="shared" si="2"/>
        <v>0</v>
      </c>
    </row>
    <row r="115" spans="1:34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  <c r="M115" t="s">
        <v>3</v>
      </c>
      <c r="N115" t="s">
        <v>3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2</v>
      </c>
      <c r="U115" t="s">
        <v>2</v>
      </c>
      <c r="V115" t="s">
        <v>2</v>
      </c>
      <c r="W115" t="s">
        <v>2</v>
      </c>
      <c r="X115" t="s">
        <v>2</v>
      </c>
      <c r="Y115" t="s">
        <v>2</v>
      </c>
      <c r="Z115" t="s">
        <v>2</v>
      </c>
      <c r="AA115" t="s">
        <v>2</v>
      </c>
      <c r="AB115" t="s">
        <v>2</v>
      </c>
      <c r="AC115" t="s">
        <v>2</v>
      </c>
      <c r="AD115" t="s">
        <v>2</v>
      </c>
      <c r="AG115">
        <f t="shared" si="3"/>
        <v>0</v>
      </c>
      <c r="AH115">
        <f t="shared" si="2"/>
        <v>0</v>
      </c>
    </row>
    <row r="116" spans="1:34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G116">
        <f t="shared" si="3"/>
        <v>0</v>
      </c>
      <c r="AH116">
        <f t="shared" si="2"/>
        <v>0</v>
      </c>
    </row>
    <row r="117" spans="1:34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G117">
        <f t="shared" si="3"/>
        <v>0</v>
      </c>
      <c r="AH117">
        <f t="shared" si="2"/>
        <v>0</v>
      </c>
    </row>
    <row r="118" spans="1:34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3</v>
      </c>
      <c r="I118">
        <v>1</v>
      </c>
      <c r="J118">
        <v>1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G118">
        <f t="shared" si="3"/>
        <v>2</v>
      </c>
      <c r="AH118">
        <f t="shared" si="2"/>
        <v>6.8965517241379309E-2</v>
      </c>
    </row>
    <row r="119" spans="1:34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G119">
        <f t="shared" si="3"/>
        <v>0</v>
      </c>
      <c r="AH119">
        <f t="shared" si="2"/>
        <v>0</v>
      </c>
    </row>
    <row r="120" spans="1:34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G120">
        <f t="shared" si="3"/>
        <v>0</v>
      </c>
      <c r="AH120">
        <f t="shared" si="2"/>
        <v>0</v>
      </c>
    </row>
    <row r="121" spans="1:34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G121">
        <f t="shared" si="3"/>
        <v>0</v>
      </c>
      <c r="AH121">
        <f t="shared" si="2"/>
        <v>0</v>
      </c>
    </row>
    <row r="122" spans="1:34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G122">
        <f t="shared" si="3"/>
        <v>0</v>
      </c>
      <c r="AH122">
        <f t="shared" si="2"/>
        <v>0</v>
      </c>
    </row>
    <row r="123" spans="1:34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G123">
        <f t="shared" si="3"/>
        <v>0</v>
      </c>
      <c r="AH123">
        <f t="shared" si="2"/>
        <v>0</v>
      </c>
    </row>
    <row r="124" spans="1:34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G124">
        <f t="shared" si="3"/>
        <v>0</v>
      </c>
      <c r="AH124">
        <f t="shared" si="2"/>
        <v>0</v>
      </c>
    </row>
    <row r="125" spans="1:34" x14ac:dyDescent="0.25">
      <c r="A125">
        <v>123</v>
      </c>
      <c r="B125" t="s">
        <v>2</v>
      </c>
      <c r="C125" t="s">
        <v>2</v>
      </c>
      <c r="D125" t="s">
        <v>2</v>
      </c>
      <c r="E125" t="s">
        <v>2</v>
      </c>
      <c r="F125" t="s">
        <v>2</v>
      </c>
      <c r="G125" t="s">
        <v>2</v>
      </c>
      <c r="H125" t="s">
        <v>3</v>
      </c>
      <c r="I125" t="s">
        <v>3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G125">
        <f t="shared" si="3"/>
        <v>0</v>
      </c>
      <c r="AH125">
        <f t="shared" si="2"/>
        <v>0</v>
      </c>
    </row>
    <row r="126" spans="1:34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G126">
        <f t="shared" si="3"/>
        <v>0</v>
      </c>
      <c r="AH126">
        <f t="shared" si="2"/>
        <v>0</v>
      </c>
    </row>
    <row r="127" spans="1:34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2</v>
      </c>
      <c r="K127" t="s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G127">
        <f t="shared" si="3"/>
        <v>0</v>
      </c>
      <c r="AH127">
        <f t="shared" si="2"/>
        <v>0</v>
      </c>
    </row>
    <row r="128" spans="1:34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G128">
        <f t="shared" si="3"/>
        <v>0</v>
      </c>
      <c r="AH128">
        <f t="shared" si="2"/>
        <v>0</v>
      </c>
    </row>
    <row r="129" spans="1:34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G129">
        <f t="shared" si="3"/>
        <v>0</v>
      </c>
      <c r="AH129">
        <f t="shared" si="2"/>
        <v>0</v>
      </c>
    </row>
    <row r="130" spans="1:34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G130">
        <f t="shared" si="3"/>
        <v>0</v>
      </c>
      <c r="AH130">
        <f t="shared" si="2"/>
        <v>0</v>
      </c>
    </row>
    <row r="131" spans="1:34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G131">
        <f t="shared" si="3"/>
        <v>0</v>
      </c>
      <c r="AH131">
        <f t="shared" ref="AH131:AH194" si="4">AG131/29</f>
        <v>0</v>
      </c>
    </row>
    <row r="132" spans="1:34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G132">
        <f t="shared" ref="AG132:AG195" si="5">SUM(B132:AD132)</f>
        <v>0</v>
      </c>
      <c r="AH132">
        <f t="shared" si="4"/>
        <v>0</v>
      </c>
    </row>
    <row r="133" spans="1:34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G133">
        <f t="shared" si="5"/>
        <v>0</v>
      </c>
      <c r="AH133">
        <f t="shared" si="4"/>
        <v>0</v>
      </c>
    </row>
    <row r="134" spans="1:34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G134">
        <f t="shared" si="5"/>
        <v>0</v>
      </c>
      <c r="AH134">
        <f t="shared" si="4"/>
        <v>0</v>
      </c>
    </row>
    <row r="135" spans="1:34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G135">
        <f t="shared" si="5"/>
        <v>0</v>
      </c>
      <c r="AH135">
        <f t="shared" si="4"/>
        <v>0</v>
      </c>
    </row>
    <row r="136" spans="1:34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3</v>
      </c>
      <c r="G136" t="s">
        <v>3</v>
      </c>
      <c r="H136" t="s">
        <v>2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G136">
        <f t="shared" si="5"/>
        <v>0</v>
      </c>
      <c r="AH136">
        <f t="shared" si="4"/>
        <v>0</v>
      </c>
    </row>
    <row r="137" spans="1:34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G137">
        <f t="shared" si="5"/>
        <v>0</v>
      </c>
      <c r="AH137">
        <f t="shared" si="4"/>
        <v>0</v>
      </c>
    </row>
    <row r="138" spans="1:34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3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G138">
        <f t="shared" si="5"/>
        <v>0</v>
      </c>
      <c r="AH138">
        <f t="shared" si="4"/>
        <v>0</v>
      </c>
    </row>
    <row r="139" spans="1:34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G139">
        <f t="shared" si="5"/>
        <v>0</v>
      </c>
      <c r="AH139">
        <f t="shared" si="4"/>
        <v>0</v>
      </c>
    </row>
    <row r="140" spans="1:34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G140">
        <f t="shared" si="5"/>
        <v>0</v>
      </c>
      <c r="AH140">
        <f t="shared" si="4"/>
        <v>0</v>
      </c>
    </row>
    <row r="141" spans="1:34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G141">
        <f t="shared" si="5"/>
        <v>0</v>
      </c>
      <c r="AH141">
        <f t="shared" si="4"/>
        <v>0</v>
      </c>
    </row>
    <row r="142" spans="1:34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>
        <v>1</v>
      </c>
      <c r="AC142" t="s">
        <v>3</v>
      </c>
      <c r="AD142">
        <v>1</v>
      </c>
      <c r="AG142">
        <f t="shared" si="5"/>
        <v>2</v>
      </c>
      <c r="AH142">
        <f t="shared" si="4"/>
        <v>6.8965517241379309E-2</v>
      </c>
    </row>
    <row r="143" spans="1:34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G143">
        <f t="shared" si="5"/>
        <v>0</v>
      </c>
      <c r="AH143">
        <f t="shared" si="4"/>
        <v>0</v>
      </c>
    </row>
    <row r="144" spans="1:34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G144">
        <f t="shared" si="5"/>
        <v>0</v>
      </c>
      <c r="AH144">
        <f t="shared" si="4"/>
        <v>0</v>
      </c>
    </row>
    <row r="145" spans="1:34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G145">
        <f t="shared" si="5"/>
        <v>0</v>
      </c>
      <c r="AH145">
        <f t="shared" si="4"/>
        <v>0</v>
      </c>
    </row>
    <row r="146" spans="1:34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G146">
        <f t="shared" si="5"/>
        <v>0</v>
      </c>
      <c r="AH146">
        <f t="shared" si="4"/>
        <v>0</v>
      </c>
    </row>
    <row r="147" spans="1:34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G147">
        <f t="shared" si="5"/>
        <v>0</v>
      </c>
      <c r="AH147">
        <f t="shared" si="4"/>
        <v>0</v>
      </c>
    </row>
    <row r="148" spans="1:34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G148">
        <f t="shared" si="5"/>
        <v>0</v>
      </c>
      <c r="AH148">
        <f t="shared" si="4"/>
        <v>0</v>
      </c>
    </row>
    <row r="149" spans="1:34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G149">
        <f t="shared" si="5"/>
        <v>0</v>
      </c>
      <c r="AH149">
        <f t="shared" si="4"/>
        <v>0</v>
      </c>
    </row>
    <row r="150" spans="1:34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G150">
        <f t="shared" si="5"/>
        <v>0</v>
      </c>
      <c r="AH150">
        <f t="shared" si="4"/>
        <v>0</v>
      </c>
    </row>
    <row r="151" spans="1:34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G151">
        <f t="shared" si="5"/>
        <v>0</v>
      </c>
      <c r="AH151">
        <f t="shared" si="4"/>
        <v>0</v>
      </c>
    </row>
    <row r="152" spans="1:34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G152">
        <f t="shared" si="5"/>
        <v>0</v>
      </c>
      <c r="AH152">
        <f t="shared" si="4"/>
        <v>0</v>
      </c>
    </row>
    <row r="153" spans="1:34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G153">
        <f t="shared" si="5"/>
        <v>0</v>
      </c>
      <c r="AH153">
        <f t="shared" si="4"/>
        <v>0</v>
      </c>
    </row>
    <row r="154" spans="1:34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G154">
        <f t="shared" si="5"/>
        <v>0</v>
      </c>
      <c r="AH154">
        <f t="shared" si="4"/>
        <v>0</v>
      </c>
    </row>
    <row r="155" spans="1:34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3</v>
      </c>
      <c r="I155" t="s">
        <v>3</v>
      </c>
      <c r="J155">
        <v>1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G155">
        <f t="shared" si="5"/>
        <v>1</v>
      </c>
      <c r="AH155">
        <f t="shared" si="4"/>
        <v>3.4482758620689655E-2</v>
      </c>
    </row>
    <row r="156" spans="1:34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G156">
        <f t="shared" si="5"/>
        <v>0</v>
      </c>
      <c r="AH156">
        <f t="shared" si="4"/>
        <v>0</v>
      </c>
    </row>
    <row r="157" spans="1:34" x14ac:dyDescent="0.25">
      <c r="A157">
        <v>155</v>
      </c>
      <c r="B157" t="s">
        <v>2</v>
      </c>
      <c r="C157" t="s">
        <v>2</v>
      </c>
      <c r="D157" t="s">
        <v>2</v>
      </c>
      <c r="E157" t="s">
        <v>2</v>
      </c>
      <c r="F157" t="s">
        <v>3</v>
      </c>
      <c r="G157" t="s">
        <v>2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G157">
        <f t="shared" si="5"/>
        <v>0</v>
      </c>
      <c r="AH157">
        <f t="shared" si="4"/>
        <v>0</v>
      </c>
    </row>
    <row r="158" spans="1:34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G158">
        <f t="shared" si="5"/>
        <v>0</v>
      </c>
      <c r="AH158">
        <f t="shared" si="4"/>
        <v>0</v>
      </c>
    </row>
    <row r="159" spans="1:34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G159">
        <f t="shared" si="5"/>
        <v>0</v>
      </c>
      <c r="AH159">
        <f t="shared" si="4"/>
        <v>0</v>
      </c>
    </row>
    <row r="160" spans="1:34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G160">
        <f t="shared" si="5"/>
        <v>0</v>
      </c>
      <c r="AH160">
        <f t="shared" si="4"/>
        <v>0</v>
      </c>
    </row>
    <row r="161" spans="1:34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3</v>
      </c>
      <c r="Q161" t="s">
        <v>3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G161">
        <f t="shared" si="5"/>
        <v>0</v>
      </c>
      <c r="AH161">
        <f t="shared" si="4"/>
        <v>0</v>
      </c>
    </row>
    <row r="162" spans="1:34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G162">
        <f t="shared" si="5"/>
        <v>0</v>
      </c>
      <c r="AH162">
        <f t="shared" si="4"/>
        <v>0</v>
      </c>
    </row>
    <row r="163" spans="1:34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2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U163" t="s">
        <v>2</v>
      </c>
      <c r="V163" t="s">
        <v>2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  <c r="AB163" t="s">
        <v>2</v>
      </c>
      <c r="AC163" t="s">
        <v>2</v>
      </c>
      <c r="AD163" t="s">
        <v>2</v>
      </c>
      <c r="AG163">
        <f t="shared" si="5"/>
        <v>0</v>
      </c>
      <c r="AH163">
        <f t="shared" si="4"/>
        <v>0</v>
      </c>
    </row>
    <row r="164" spans="1:34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G164">
        <f t="shared" si="5"/>
        <v>0</v>
      </c>
      <c r="AH164">
        <f t="shared" si="4"/>
        <v>0</v>
      </c>
    </row>
    <row r="165" spans="1:34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G165">
        <f t="shared" si="5"/>
        <v>0</v>
      </c>
      <c r="AH165">
        <f t="shared" si="4"/>
        <v>0</v>
      </c>
    </row>
    <row r="166" spans="1:34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G166">
        <f t="shared" si="5"/>
        <v>0</v>
      </c>
      <c r="AH166">
        <f t="shared" si="4"/>
        <v>0</v>
      </c>
    </row>
    <row r="167" spans="1:34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G167">
        <f t="shared" si="5"/>
        <v>0</v>
      </c>
      <c r="AH167">
        <f t="shared" si="4"/>
        <v>0</v>
      </c>
    </row>
    <row r="168" spans="1:34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 t="s">
        <v>3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 t="s">
        <v>3</v>
      </c>
      <c r="M168" t="s">
        <v>3</v>
      </c>
      <c r="N168" t="s">
        <v>3</v>
      </c>
      <c r="O168" t="s">
        <v>3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3</v>
      </c>
      <c r="W168" t="s">
        <v>3</v>
      </c>
      <c r="X168" t="s">
        <v>3</v>
      </c>
      <c r="Y168" t="s">
        <v>3</v>
      </c>
      <c r="Z168" t="s">
        <v>3</v>
      </c>
      <c r="AA168" t="s">
        <v>3</v>
      </c>
      <c r="AB168" t="s">
        <v>3</v>
      </c>
      <c r="AC168" t="s">
        <v>3</v>
      </c>
      <c r="AD168" t="s">
        <v>3</v>
      </c>
      <c r="AG168">
        <f t="shared" si="5"/>
        <v>0</v>
      </c>
      <c r="AH168">
        <f t="shared" si="4"/>
        <v>0</v>
      </c>
    </row>
    <row r="169" spans="1:34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G169">
        <f t="shared" si="5"/>
        <v>0</v>
      </c>
      <c r="AH169">
        <f t="shared" si="4"/>
        <v>0</v>
      </c>
    </row>
    <row r="170" spans="1:34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G170">
        <f t="shared" si="5"/>
        <v>0</v>
      </c>
      <c r="AH170">
        <f t="shared" si="4"/>
        <v>0</v>
      </c>
    </row>
    <row r="171" spans="1:34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G171">
        <f t="shared" si="5"/>
        <v>0</v>
      </c>
      <c r="AH171">
        <f t="shared" si="4"/>
        <v>0</v>
      </c>
    </row>
    <row r="172" spans="1:34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3</v>
      </c>
      <c r="J172" t="s">
        <v>3</v>
      </c>
      <c r="K172" t="s">
        <v>3</v>
      </c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G172">
        <f t="shared" si="5"/>
        <v>0</v>
      </c>
      <c r="AH172">
        <f t="shared" si="4"/>
        <v>0</v>
      </c>
    </row>
    <row r="173" spans="1:34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2</v>
      </c>
      <c r="G173" t="s">
        <v>2</v>
      </c>
      <c r="H173" t="s">
        <v>2</v>
      </c>
      <c r="I173" t="s">
        <v>2</v>
      </c>
      <c r="J173" t="s">
        <v>2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G173">
        <f t="shared" si="5"/>
        <v>0</v>
      </c>
      <c r="AH173">
        <f t="shared" si="4"/>
        <v>0</v>
      </c>
    </row>
    <row r="174" spans="1:34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G174">
        <f t="shared" si="5"/>
        <v>0</v>
      </c>
      <c r="AH174">
        <f t="shared" si="4"/>
        <v>0</v>
      </c>
    </row>
    <row r="175" spans="1:34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G175">
        <f t="shared" si="5"/>
        <v>0</v>
      </c>
      <c r="AH175">
        <f t="shared" si="4"/>
        <v>0</v>
      </c>
    </row>
    <row r="176" spans="1:34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G176">
        <f t="shared" si="5"/>
        <v>0</v>
      </c>
      <c r="AH176">
        <f t="shared" si="4"/>
        <v>0</v>
      </c>
    </row>
    <row r="177" spans="1:34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G177">
        <f t="shared" si="5"/>
        <v>0</v>
      </c>
      <c r="AH177">
        <f t="shared" si="4"/>
        <v>0</v>
      </c>
    </row>
    <row r="178" spans="1:34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2</v>
      </c>
      <c r="AD178" t="s">
        <v>2</v>
      </c>
      <c r="AG178">
        <f t="shared" si="5"/>
        <v>0</v>
      </c>
      <c r="AH178">
        <f t="shared" si="4"/>
        <v>0</v>
      </c>
    </row>
    <row r="179" spans="1:34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G179">
        <f t="shared" si="5"/>
        <v>0</v>
      </c>
      <c r="AH179">
        <f t="shared" si="4"/>
        <v>0</v>
      </c>
    </row>
    <row r="180" spans="1:34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G180">
        <f t="shared" si="5"/>
        <v>0</v>
      </c>
      <c r="AH180">
        <f t="shared" si="4"/>
        <v>0</v>
      </c>
    </row>
    <row r="181" spans="1:34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G181">
        <f t="shared" si="5"/>
        <v>0</v>
      </c>
      <c r="AH181">
        <f t="shared" si="4"/>
        <v>0</v>
      </c>
    </row>
    <row r="182" spans="1:34" x14ac:dyDescent="0.25">
      <c r="A182">
        <v>180</v>
      </c>
      <c r="B182" t="s">
        <v>2</v>
      </c>
      <c r="C182" t="s">
        <v>3</v>
      </c>
      <c r="D182" t="s">
        <v>3</v>
      </c>
      <c r="E182" t="s">
        <v>3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G182">
        <f t="shared" si="5"/>
        <v>0</v>
      </c>
      <c r="AH182">
        <f t="shared" si="4"/>
        <v>0</v>
      </c>
    </row>
    <row r="183" spans="1:34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G183">
        <f t="shared" si="5"/>
        <v>0</v>
      </c>
      <c r="AH183">
        <f t="shared" si="4"/>
        <v>0</v>
      </c>
    </row>
    <row r="184" spans="1:34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3</v>
      </c>
      <c r="AD184" t="s">
        <v>3</v>
      </c>
      <c r="AG184">
        <f t="shared" si="5"/>
        <v>0</v>
      </c>
      <c r="AH184">
        <f t="shared" si="4"/>
        <v>0</v>
      </c>
    </row>
    <row r="185" spans="1:34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G185">
        <f t="shared" si="5"/>
        <v>0</v>
      </c>
      <c r="AH185">
        <f t="shared" si="4"/>
        <v>0</v>
      </c>
    </row>
    <row r="186" spans="1:34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2</v>
      </c>
      <c r="G186" t="s">
        <v>2</v>
      </c>
      <c r="H186" t="s">
        <v>2</v>
      </c>
      <c r="I186" t="s">
        <v>2</v>
      </c>
      <c r="J186" t="s">
        <v>2</v>
      </c>
      <c r="K186" t="s">
        <v>2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G186">
        <f t="shared" si="5"/>
        <v>0</v>
      </c>
      <c r="AH186">
        <f t="shared" si="4"/>
        <v>0</v>
      </c>
    </row>
    <row r="187" spans="1:34" x14ac:dyDescent="0.25">
      <c r="A187">
        <v>185</v>
      </c>
      <c r="B187" t="s">
        <v>2</v>
      </c>
      <c r="C187" t="s">
        <v>2</v>
      </c>
      <c r="D187" t="s">
        <v>2</v>
      </c>
      <c r="E187" t="s">
        <v>2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G187">
        <f t="shared" si="5"/>
        <v>0</v>
      </c>
      <c r="AH187">
        <f t="shared" si="4"/>
        <v>0</v>
      </c>
    </row>
    <row r="188" spans="1:34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G188">
        <f t="shared" si="5"/>
        <v>0</v>
      </c>
      <c r="AH188">
        <f t="shared" si="4"/>
        <v>0</v>
      </c>
    </row>
    <row r="189" spans="1:34" x14ac:dyDescent="0.25">
      <c r="A189">
        <v>187</v>
      </c>
      <c r="B189" t="s">
        <v>2</v>
      </c>
      <c r="C189" t="s">
        <v>3</v>
      </c>
      <c r="D189" t="s">
        <v>3</v>
      </c>
      <c r="E189" t="s">
        <v>3</v>
      </c>
      <c r="F189" t="s">
        <v>3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G189">
        <f t="shared" si="5"/>
        <v>0</v>
      </c>
      <c r="AH189">
        <f t="shared" si="4"/>
        <v>0</v>
      </c>
    </row>
    <row r="190" spans="1:34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2</v>
      </c>
      <c r="Q190" t="s">
        <v>2</v>
      </c>
      <c r="R190" t="s">
        <v>2</v>
      </c>
      <c r="S190" t="s">
        <v>2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G190">
        <f t="shared" si="5"/>
        <v>0</v>
      </c>
      <c r="AH190">
        <f t="shared" si="4"/>
        <v>0</v>
      </c>
    </row>
    <row r="191" spans="1:34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G191">
        <f t="shared" si="5"/>
        <v>0</v>
      </c>
      <c r="AH191">
        <f t="shared" si="4"/>
        <v>0</v>
      </c>
    </row>
    <row r="192" spans="1:34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G192">
        <f t="shared" si="5"/>
        <v>0</v>
      </c>
      <c r="AH192">
        <f t="shared" si="4"/>
        <v>0</v>
      </c>
    </row>
    <row r="193" spans="1:34" x14ac:dyDescent="0.25">
      <c r="A193">
        <v>191</v>
      </c>
      <c r="B193" t="s">
        <v>3</v>
      </c>
      <c r="C193" t="s">
        <v>3</v>
      </c>
      <c r="D193" t="s">
        <v>3</v>
      </c>
      <c r="E193" t="s">
        <v>3</v>
      </c>
      <c r="F193" t="s">
        <v>3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3</v>
      </c>
      <c r="W193" t="s">
        <v>3</v>
      </c>
      <c r="X193" t="s">
        <v>3</v>
      </c>
      <c r="Y193" t="s">
        <v>3</v>
      </c>
      <c r="Z193" t="s">
        <v>3</v>
      </c>
      <c r="AA193" t="s">
        <v>3</v>
      </c>
      <c r="AB193" t="s">
        <v>3</v>
      </c>
      <c r="AC193" t="s">
        <v>3</v>
      </c>
      <c r="AD193" t="s">
        <v>3</v>
      </c>
      <c r="AG193">
        <f t="shared" si="5"/>
        <v>0</v>
      </c>
      <c r="AH193">
        <f t="shared" si="4"/>
        <v>0</v>
      </c>
    </row>
    <row r="194" spans="1:34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G194">
        <f t="shared" si="5"/>
        <v>0</v>
      </c>
      <c r="AH194">
        <f t="shared" si="4"/>
        <v>0</v>
      </c>
    </row>
    <row r="195" spans="1:34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G195">
        <f t="shared" si="5"/>
        <v>0</v>
      </c>
      <c r="AH195">
        <f t="shared" ref="AH195:AH201" si="6">AG195/29</f>
        <v>0</v>
      </c>
    </row>
    <row r="196" spans="1:34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G196">
        <f t="shared" ref="AG196:AG201" si="7">SUM(B196:AD196)</f>
        <v>0</v>
      </c>
      <c r="AH196">
        <f t="shared" si="6"/>
        <v>0</v>
      </c>
    </row>
    <row r="197" spans="1:34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 t="s">
        <v>3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  <c r="M197" t="s">
        <v>3</v>
      </c>
      <c r="N197" t="s">
        <v>2</v>
      </c>
      <c r="O197" t="s">
        <v>2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3</v>
      </c>
      <c r="W197" t="s">
        <v>3</v>
      </c>
      <c r="X197" t="s">
        <v>3</v>
      </c>
      <c r="Y197" t="s">
        <v>3</v>
      </c>
      <c r="Z197" t="s">
        <v>3</v>
      </c>
      <c r="AA197" t="s">
        <v>3</v>
      </c>
      <c r="AB197" t="s">
        <v>3</v>
      </c>
      <c r="AC197" t="s">
        <v>3</v>
      </c>
      <c r="AD197" t="s">
        <v>3</v>
      </c>
      <c r="AG197">
        <f t="shared" si="7"/>
        <v>0</v>
      </c>
      <c r="AH197">
        <f t="shared" si="6"/>
        <v>0</v>
      </c>
    </row>
    <row r="198" spans="1:34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G198">
        <f t="shared" si="7"/>
        <v>0</v>
      </c>
      <c r="AH198">
        <f t="shared" si="6"/>
        <v>0</v>
      </c>
    </row>
    <row r="199" spans="1:34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G199">
        <f t="shared" si="7"/>
        <v>0</v>
      </c>
      <c r="AH199">
        <f t="shared" si="6"/>
        <v>0</v>
      </c>
    </row>
    <row r="200" spans="1:34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2</v>
      </c>
      <c r="G200" t="s">
        <v>2</v>
      </c>
      <c r="H200" t="s">
        <v>2</v>
      </c>
      <c r="I200" t="s">
        <v>2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2</v>
      </c>
      <c r="U200" t="s">
        <v>2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G200">
        <f t="shared" si="7"/>
        <v>0</v>
      </c>
      <c r="AH200">
        <f t="shared" si="6"/>
        <v>0</v>
      </c>
    </row>
    <row r="201" spans="1:34" x14ac:dyDescent="0.25">
      <c r="A201">
        <v>199</v>
      </c>
      <c r="B201" t="s">
        <v>2</v>
      </c>
      <c r="C201" t="s">
        <v>2</v>
      </c>
      <c r="D201" t="s">
        <v>2</v>
      </c>
      <c r="E201" t="s">
        <v>2</v>
      </c>
      <c r="F201" t="s">
        <v>2</v>
      </c>
      <c r="G201" t="s">
        <v>2</v>
      </c>
      <c r="H201" t="s">
        <v>2</v>
      </c>
      <c r="I201" t="s">
        <v>2</v>
      </c>
      <c r="J201" t="s">
        <v>2</v>
      </c>
      <c r="K201" t="s">
        <v>2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G201">
        <f t="shared" si="7"/>
        <v>0</v>
      </c>
      <c r="AH201">
        <f t="shared" si="6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25D8-9C53-4A52-B08C-0D6B71A796D1}">
  <dimension ref="A1:AI201"/>
  <sheetViews>
    <sheetView zoomScale="70" zoomScaleNormal="70" workbookViewId="0">
      <selection activeCell="N22" sqref="N22"/>
    </sheetView>
  </sheetViews>
  <sheetFormatPr baseColWidth="10" defaultRowHeight="15" x14ac:dyDescent="0.25"/>
  <cols>
    <col min="31" max="31" width="4.140625" customWidth="1"/>
    <col min="32" max="32" width="5.5703125" customWidth="1"/>
    <col min="33" max="33" width="5.140625" customWidth="1"/>
    <col min="35" max="35" width="17.140625" customWidth="1"/>
  </cols>
  <sheetData>
    <row r="1" spans="1:35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F1">
        <v>0</v>
      </c>
      <c r="AG1">
        <v>0</v>
      </c>
      <c r="AH1" t="s">
        <v>2</v>
      </c>
      <c r="AI1" t="s">
        <v>25</v>
      </c>
    </row>
    <row r="2" spans="1:35" x14ac:dyDescent="0.25">
      <c r="A2">
        <v>0</v>
      </c>
      <c r="B2">
        <v>1</v>
      </c>
      <c r="C2" t="s">
        <v>3</v>
      </c>
      <c r="D2" t="s">
        <v>3</v>
      </c>
      <c r="E2" t="s">
        <v>3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H2">
        <f>SUM(B2:AD2)</f>
        <v>26</v>
      </c>
      <c r="AI2">
        <f>AH2/29</f>
        <v>0.89655172413793105</v>
      </c>
    </row>
    <row r="3" spans="1:35" x14ac:dyDescent="0.2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H3">
        <f t="shared" ref="AH3:AH66" si="0">SUM(B3:AD3)</f>
        <v>29</v>
      </c>
      <c r="AI3">
        <f t="shared" ref="AI3:AI66" si="1">AH3/29</f>
        <v>1</v>
      </c>
    </row>
    <row r="4" spans="1:35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H4">
        <f t="shared" si="0"/>
        <v>0</v>
      </c>
      <c r="AI4">
        <f t="shared" si="1"/>
        <v>0</v>
      </c>
    </row>
    <row r="5" spans="1:35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H5">
        <f t="shared" si="0"/>
        <v>0</v>
      </c>
      <c r="AI5">
        <f t="shared" si="1"/>
        <v>0</v>
      </c>
    </row>
    <row r="6" spans="1:35" x14ac:dyDescent="0.25">
      <c r="A6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H6">
        <f t="shared" si="0"/>
        <v>23</v>
      </c>
      <c r="AI6">
        <f t="shared" si="1"/>
        <v>0.7931034482758621</v>
      </c>
    </row>
    <row r="7" spans="1:35" x14ac:dyDescent="0.25">
      <c r="A7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 t="s">
        <v>3</v>
      </c>
      <c r="W7" t="s">
        <v>3</v>
      </c>
      <c r="X7" t="s">
        <v>3</v>
      </c>
      <c r="Y7" t="s">
        <v>3</v>
      </c>
      <c r="Z7" t="s">
        <v>3</v>
      </c>
      <c r="AA7" t="s">
        <v>3</v>
      </c>
      <c r="AB7" t="s">
        <v>3</v>
      </c>
      <c r="AC7" t="s">
        <v>3</v>
      </c>
      <c r="AD7" t="s">
        <v>3</v>
      </c>
      <c r="AH7">
        <f t="shared" si="0"/>
        <v>20</v>
      </c>
      <c r="AI7">
        <f t="shared" si="1"/>
        <v>0.68965517241379315</v>
      </c>
    </row>
    <row r="8" spans="1:35" x14ac:dyDescent="0.25">
      <c r="A8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H8">
        <f t="shared" si="0"/>
        <v>29</v>
      </c>
      <c r="AI8">
        <f t="shared" si="1"/>
        <v>1</v>
      </c>
    </row>
    <row r="9" spans="1:35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H9">
        <f t="shared" si="0"/>
        <v>0</v>
      </c>
      <c r="AI9">
        <f t="shared" si="1"/>
        <v>0</v>
      </c>
    </row>
    <row r="10" spans="1:35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H10">
        <f t="shared" si="0"/>
        <v>0</v>
      </c>
      <c r="AI10">
        <f t="shared" si="1"/>
        <v>0</v>
      </c>
    </row>
    <row r="11" spans="1:35" x14ac:dyDescent="0.25">
      <c r="A11">
        <v>9</v>
      </c>
      <c r="B11">
        <v>1</v>
      </c>
      <c r="C11">
        <v>1</v>
      </c>
      <c r="D11">
        <v>1</v>
      </c>
      <c r="E11">
        <v>1</v>
      </c>
      <c r="F11" t="s">
        <v>3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H11">
        <f t="shared" si="0"/>
        <v>28</v>
      </c>
      <c r="AI11">
        <f t="shared" si="1"/>
        <v>0.96551724137931039</v>
      </c>
    </row>
    <row r="12" spans="1:35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H12">
        <f t="shared" si="0"/>
        <v>0</v>
      </c>
      <c r="AI12">
        <f t="shared" si="1"/>
        <v>0</v>
      </c>
    </row>
    <row r="13" spans="1:35" x14ac:dyDescent="0.25">
      <c r="A13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H13">
        <f t="shared" si="0"/>
        <v>8</v>
      </c>
      <c r="AI13">
        <f t="shared" si="1"/>
        <v>0.27586206896551724</v>
      </c>
    </row>
    <row r="14" spans="1:35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H14">
        <f t="shared" si="0"/>
        <v>0</v>
      </c>
      <c r="AI14">
        <f t="shared" si="1"/>
        <v>0</v>
      </c>
    </row>
    <row r="15" spans="1:35" x14ac:dyDescent="0.25">
      <c r="A15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H15">
        <f t="shared" si="0"/>
        <v>29</v>
      </c>
      <c r="AI15">
        <f t="shared" si="1"/>
        <v>1</v>
      </c>
    </row>
    <row r="16" spans="1:35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H16">
        <f t="shared" si="0"/>
        <v>0</v>
      </c>
      <c r="AI16">
        <f t="shared" si="1"/>
        <v>0</v>
      </c>
    </row>
    <row r="17" spans="1:35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H17">
        <f t="shared" si="0"/>
        <v>7</v>
      </c>
      <c r="AI17">
        <f t="shared" si="1"/>
        <v>0.2413793103448276</v>
      </c>
    </row>
    <row r="18" spans="1:35" x14ac:dyDescent="0.25">
      <c r="A18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H18">
        <f t="shared" si="0"/>
        <v>29</v>
      </c>
      <c r="AI18">
        <f t="shared" si="1"/>
        <v>1</v>
      </c>
    </row>
    <row r="19" spans="1:35" x14ac:dyDescent="0.25">
      <c r="A19">
        <v>17</v>
      </c>
      <c r="B19">
        <v>1</v>
      </c>
      <c r="C19">
        <v>1</v>
      </c>
      <c r="D19">
        <v>1</v>
      </c>
      <c r="E19">
        <v>1</v>
      </c>
      <c r="F19" t="s">
        <v>3</v>
      </c>
      <c r="G19" t="s">
        <v>3</v>
      </c>
      <c r="H19" t="s">
        <v>3</v>
      </c>
      <c r="I19" t="s">
        <v>3</v>
      </c>
      <c r="J19" t="s">
        <v>4</v>
      </c>
      <c r="K19" t="s">
        <v>4</v>
      </c>
      <c r="L19" t="s">
        <v>4</v>
      </c>
      <c r="M19" t="s">
        <v>4</v>
      </c>
      <c r="N19" t="s">
        <v>3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H19">
        <f t="shared" si="0"/>
        <v>4</v>
      </c>
      <c r="AI19">
        <f t="shared" si="1"/>
        <v>0.13793103448275862</v>
      </c>
    </row>
    <row r="20" spans="1:35" x14ac:dyDescent="0.25">
      <c r="A20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H20">
        <f t="shared" si="0"/>
        <v>29</v>
      </c>
      <c r="AI20">
        <f t="shared" si="1"/>
        <v>1</v>
      </c>
    </row>
    <row r="21" spans="1:35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H21">
        <f t="shared" si="0"/>
        <v>0</v>
      </c>
      <c r="AI21">
        <f t="shared" si="1"/>
        <v>0</v>
      </c>
    </row>
    <row r="22" spans="1:35" x14ac:dyDescent="0.25">
      <c r="A22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H22">
        <f t="shared" si="0"/>
        <v>29</v>
      </c>
      <c r="AI22">
        <f t="shared" si="1"/>
        <v>1</v>
      </c>
    </row>
    <row r="23" spans="1:35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H23">
        <f t="shared" si="0"/>
        <v>0</v>
      </c>
      <c r="AI23">
        <f t="shared" si="1"/>
        <v>0</v>
      </c>
    </row>
    <row r="24" spans="1:35" x14ac:dyDescent="0.25">
      <c r="A24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H24">
        <f t="shared" si="0"/>
        <v>29</v>
      </c>
      <c r="AI24">
        <f t="shared" si="1"/>
        <v>1</v>
      </c>
    </row>
    <row r="25" spans="1:35" x14ac:dyDescent="0.25">
      <c r="A25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H25">
        <f t="shared" si="0"/>
        <v>29</v>
      </c>
      <c r="AI25">
        <f t="shared" si="1"/>
        <v>1</v>
      </c>
    </row>
    <row r="26" spans="1:35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H26">
        <f t="shared" si="0"/>
        <v>0</v>
      </c>
      <c r="AI26">
        <f t="shared" si="1"/>
        <v>0</v>
      </c>
    </row>
    <row r="27" spans="1:35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H27">
        <f t="shared" si="0"/>
        <v>0</v>
      </c>
      <c r="AI27">
        <f t="shared" si="1"/>
        <v>0</v>
      </c>
    </row>
    <row r="28" spans="1:35" x14ac:dyDescent="0.25">
      <c r="A28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 t="s">
        <v>3</v>
      </c>
      <c r="Q28" t="s">
        <v>3</v>
      </c>
      <c r="R28" t="s">
        <v>3</v>
      </c>
      <c r="S28" t="s">
        <v>3</v>
      </c>
      <c r="T28" t="s">
        <v>3</v>
      </c>
      <c r="U28" t="s">
        <v>3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H28">
        <f t="shared" si="0"/>
        <v>23</v>
      </c>
      <c r="AI28">
        <f t="shared" si="1"/>
        <v>0.7931034482758621</v>
      </c>
    </row>
    <row r="29" spans="1:35" x14ac:dyDescent="0.25">
      <c r="A29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H29">
        <f t="shared" si="0"/>
        <v>29</v>
      </c>
      <c r="AI29">
        <f t="shared" si="1"/>
        <v>1</v>
      </c>
    </row>
    <row r="30" spans="1:35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H30">
        <f t="shared" si="0"/>
        <v>0</v>
      </c>
      <c r="AI30">
        <f t="shared" si="1"/>
        <v>0</v>
      </c>
    </row>
    <row r="31" spans="1:35" x14ac:dyDescent="0.25">
      <c r="A3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 t="s">
        <v>3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H31">
        <f t="shared" si="0"/>
        <v>21</v>
      </c>
      <c r="AI31">
        <f t="shared" si="1"/>
        <v>0.72413793103448276</v>
      </c>
    </row>
    <row r="32" spans="1:35" x14ac:dyDescent="0.25">
      <c r="A32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H32">
        <f t="shared" si="0"/>
        <v>29</v>
      </c>
      <c r="AI32">
        <f t="shared" si="1"/>
        <v>1</v>
      </c>
    </row>
    <row r="33" spans="1:35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H33">
        <f t="shared" si="0"/>
        <v>0</v>
      </c>
      <c r="AI33">
        <f t="shared" si="1"/>
        <v>0</v>
      </c>
    </row>
    <row r="34" spans="1:35" x14ac:dyDescent="0.25">
      <c r="A34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H34">
        <f t="shared" si="0"/>
        <v>29</v>
      </c>
      <c r="AI34">
        <f t="shared" si="1"/>
        <v>1</v>
      </c>
    </row>
    <row r="35" spans="1:35" x14ac:dyDescent="0.25">
      <c r="A35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H35">
        <f t="shared" si="0"/>
        <v>29</v>
      </c>
      <c r="AI35">
        <f t="shared" si="1"/>
        <v>1</v>
      </c>
    </row>
    <row r="36" spans="1:35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H36">
        <f t="shared" si="0"/>
        <v>0</v>
      </c>
      <c r="AI36">
        <f t="shared" si="1"/>
        <v>0</v>
      </c>
    </row>
    <row r="37" spans="1:35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H37">
        <f t="shared" si="0"/>
        <v>0</v>
      </c>
      <c r="AI37">
        <f t="shared" si="1"/>
        <v>0</v>
      </c>
    </row>
    <row r="38" spans="1:35" x14ac:dyDescent="0.25">
      <c r="A38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H38">
        <f t="shared" si="0"/>
        <v>29</v>
      </c>
      <c r="AI38">
        <f t="shared" si="1"/>
        <v>1</v>
      </c>
    </row>
    <row r="39" spans="1:35" x14ac:dyDescent="0.25">
      <c r="A39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 t="s">
        <v>3</v>
      </c>
      <c r="Q39" t="s">
        <v>3</v>
      </c>
      <c r="R39">
        <v>1</v>
      </c>
      <c r="S39">
        <v>1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H39">
        <f t="shared" si="0"/>
        <v>16</v>
      </c>
      <c r="AI39">
        <f t="shared" si="1"/>
        <v>0.55172413793103448</v>
      </c>
    </row>
    <row r="40" spans="1:35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H40">
        <f t="shared" si="0"/>
        <v>0</v>
      </c>
      <c r="AI40">
        <f t="shared" si="1"/>
        <v>0</v>
      </c>
    </row>
    <row r="41" spans="1:35" x14ac:dyDescent="0.25">
      <c r="A4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H41">
        <f t="shared" si="0"/>
        <v>29</v>
      </c>
      <c r="AI41">
        <f t="shared" si="1"/>
        <v>1</v>
      </c>
    </row>
    <row r="42" spans="1:35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H42">
        <f t="shared" si="0"/>
        <v>0</v>
      </c>
      <c r="AI42">
        <f t="shared" si="1"/>
        <v>0</v>
      </c>
    </row>
    <row r="43" spans="1:35" x14ac:dyDescent="0.25">
      <c r="A43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H43">
        <f t="shared" si="0"/>
        <v>29</v>
      </c>
      <c r="AI43">
        <f t="shared" si="1"/>
        <v>1</v>
      </c>
    </row>
    <row r="44" spans="1:35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H44">
        <f t="shared" si="0"/>
        <v>0</v>
      </c>
      <c r="AI44">
        <f t="shared" si="1"/>
        <v>0</v>
      </c>
    </row>
    <row r="45" spans="1:35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H45">
        <f t="shared" si="0"/>
        <v>0</v>
      </c>
      <c r="AI45">
        <f t="shared" si="1"/>
        <v>0</v>
      </c>
    </row>
    <row r="46" spans="1:35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4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H46">
        <f t="shared" si="0"/>
        <v>0</v>
      </c>
      <c r="AI46">
        <f t="shared" si="1"/>
        <v>0</v>
      </c>
    </row>
    <row r="47" spans="1:35" x14ac:dyDescent="0.25">
      <c r="A47">
        <v>45</v>
      </c>
      <c r="B47">
        <v>1</v>
      </c>
      <c r="C47">
        <v>1</v>
      </c>
      <c r="D47">
        <v>1</v>
      </c>
      <c r="E47">
        <v>1</v>
      </c>
      <c r="F47" t="s">
        <v>3</v>
      </c>
      <c r="G47">
        <v>1</v>
      </c>
      <c r="H47">
        <v>1</v>
      </c>
      <c r="I47">
        <v>1</v>
      </c>
      <c r="J47" t="s">
        <v>3</v>
      </c>
      <c r="K47" t="s">
        <v>3</v>
      </c>
      <c r="L47" t="s">
        <v>3</v>
      </c>
      <c r="M47" t="s">
        <v>3</v>
      </c>
      <c r="N47">
        <v>1</v>
      </c>
      <c r="O47">
        <v>1</v>
      </c>
      <c r="P47" t="s">
        <v>3</v>
      </c>
      <c r="Q47" t="s">
        <v>3</v>
      </c>
      <c r="R47" t="s">
        <v>3</v>
      </c>
      <c r="S47" t="s">
        <v>3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H47">
        <f t="shared" si="0"/>
        <v>20</v>
      </c>
      <c r="AI47">
        <f t="shared" si="1"/>
        <v>0.68965517241379315</v>
      </c>
    </row>
    <row r="48" spans="1:35" x14ac:dyDescent="0.25">
      <c r="A48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H48">
        <f t="shared" si="0"/>
        <v>29</v>
      </c>
      <c r="AI48">
        <f t="shared" si="1"/>
        <v>1</v>
      </c>
    </row>
    <row r="49" spans="1:35" x14ac:dyDescent="0.25">
      <c r="A49">
        <v>47</v>
      </c>
      <c r="B49">
        <v>1</v>
      </c>
      <c r="C49">
        <v>1</v>
      </c>
      <c r="D49">
        <v>1</v>
      </c>
      <c r="E49">
        <v>1</v>
      </c>
      <c r="F49" t="s">
        <v>3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>
        <v>1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H49">
        <f t="shared" si="0"/>
        <v>5</v>
      </c>
      <c r="AI49">
        <f t="shared" si="1"/>
        <v>0.17241379310344829</v>
      </c>
    </row>
    <row r="50" spans="1:35" x14ac:dyDescent="0.25">
      <c r="A50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H50">
        <f t="shared" si="0"/>
        <v>29</v>
      </c>
      <c r="AI50">
        <f t="shared" si="1"/>
        <v>1</v>
      </c>
    </row>
    <row r="51" spans="1:35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H51">
        <f t="shared" si="0"/>
        <v>0</v>
      </c>
      <c r="AI51">
        <f t="shared" si="1"/>
        <v>0</v>
      </c>
    </row>
    <row r="52" spans="1:35" x14ac:dyDescent="0.25">
      <c r="A52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H52">
        <f t="shared" si="0"/>
        <v>29</v>
      </c>
      <c r="AI52">
        <f t="shared" si="1"/>
        <v>1</v>
      </c>
    </row>
    <row r="53" spans="1:35" x14ac:dyDescent="0.25">
      <c r="A53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H53">
        <f t="shared" si="0"/>
        <v>29</v>
      </c>
      <c r="AI53">
        <f t="shared" si="1"/>
        <v>1</v>
      </c>
    </row>
    <row r="54" spans="1:35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H54">
        <f t="shared" si="0"/>
        <v>0</v>
      </c>
      <c r="AI54">
        <f t="shared" si="1"/>
        <v>0</v>
      </c>
    </row>
    <row r="55" spans="1:35" x14ac:dyDescent="0.25">
      <c r="A55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H55">
        <f t="shared" si="0"/>
        <v>29</v>
      </c>
      <c r="AI55">
        <f t="shared" si="1"/>
        <v>1</v>
      </c>
    </row>
    <row r="56" spans="1:35" x14ac:dyDescent="0.25">
      <c r="A56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H56">
        <f t="shared" si="0"/>
        <v>29</v>
      </c>
      <c r="AI56">
        <f t="shared" si="1"/>
        <v>1</v>
      </c>
    </row>
    <row r="57" spans="1:35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H57">
        <f t="shared" si="0"/>
        <v>0</v>
      </c>
      <c r="AI57">
        <f t="shared" si="1"/>
        <v>0</v>
      </c>
    </row>
    <row r="58" spans="1:35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H58">
        <f t="shared" si="0"/>
        <v>8</v>
      </c>
      <c r="AI58">
        <f t="shared" si="1"/>
        <v>0.27586206896551724</v>
      </c>
    </row>
    <row r="59" spans="1:35" x14ac:dyDescent="0.25">
      <c r="A59">
        <v>57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H59">
        <f t="shared" si="0"/>
        <v>0</v>
      </c>
      <c r="AI59">
        <f t="shared" si="1"/>
        <v>0</v>
      </c>
    </row>
    <row r="60" spans="1:35" x14ac:dyDescent="0.25">
      <c r="A60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H60">
        <f t="shared" si="0"/>
        <v>29</v>
      </c>
      <c r="AI60">
        <f t="shared" si="1"/>
        <v>1</v>
      </c>
    </row>
    <row r="61" spans="1:35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H61">
        <f t="shared" si="0"/>
        <v>0</v>
      </c>
      <c r="AI61">
        <f t="shared" si="1"/>
        <v>0</v>
      </c>
    </row>
    <row r="62" spans="1:35" x14ac:dyDescent="0.25">
      <c r="A62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 t="s">
        <v>3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H62">
        <f t="shared" si="0"/>
        <v>28</v>
      </c>
      <c r="AI62">
        <f t="shared" si="1"/>
        <v>0.96551724137931039</v>
      </c>
    </row>
    <row r="63" spans="1:35" x14ac:dyDescent="0.25">
      <c r="A63">
        <v>61</v>
      </c>
      <c r="B63">
        <v>1</v>
      </c>
      <c r="C63">
        <v>1</v>
      </c>
      <c r="D63">
        <v>1</v>
      </c>
      <c r="E63">
        <v>1</v>
      </c>
      <c r="F63" t="s">
        <v>3</v>
      </c>
      <c r="G63" t="s">
        <v>3</v>
      </c>
      <c r="H63" t="s">
        <v>3</v>
      </c>
      <c r="I63" t="s">
        <v>3</v>
      </c>
      <c r="J63">
        <v>1</v>
      </c>
      <c r="K63">
        <v>1</v>
      </c>
      <c r="L63" t="s">
        <v>3</v>
      </c>
      <c r="M63" t="s">
        <v>3</v>
      </c>
      <c r="N63">
        <v>1</v>
      </c>
      <c r="O63">
        <v>1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3</v>
      </c>
      <c r="AA63" t="s">
        <v>3</v>
      </c>
      <c r="AB63" t="s">
        <v>3</v>
      </c>
      <c r="AC63" t="s">
        <v>3</v>
      </c>
      <c r="AD63" t="s">
        <v>3</v>
      </c>
      <c r="AH63">
        <f t="shared" si="0"/>
        <v>8</v>
      </c>
      <c r="AI63">
        <f t="shared" si="1"/>
        <v>0.27586206896551724</v>
      </c>
    </row>
    <row r="64" spans="1:35" x14ac:dyDescent="0.25">
      <c r="A64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 t="s">
        <v>3</v>
      </c>
      <c r="I64" t="s">
        <v>4</v>
      </c>
      <c r="J64" t="s">
        <v>4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H64">
        <f t="shared" si="0"/>
        <v>26</v>
      </c>
      <c r="AI64">
        <f t="shared" si="1"/>
        <v>0.89655172413793105</v>
      </c>
    </row>
    <row r="65" spans="1:35" x14ac:dyDescent="0.25">
      <c r="A65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H65">
        <f t="shared" si="0"/>
        <v>29</v>
      </c>
      <c r="AI65">
        <f t="shared" si="1"/>
        <v>1</v>
      </c>
    </row>
    <row r="66" spans="1:35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H66">
        <f t="shared" si="0"/>
        <v>0</v>
      </c>
      <c r="AI66">
        <f t="shared" si="1"/>
        <v>0</v>
      </c>
    </row>
    <row r="67" spans="1:35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H67">
        <f t="shared" ref="AH67:AH130" si="2">SUM(B67:AD67)</f>
        <v>0</v>
      </c>
      <c r="AI67">
        <f t="shared" ref="AI67:AI130" si="3">AH67/29</f>
        <v>0</v>
      </c>
    </row>
    <row r="68" spans="1:35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H68">
        <f t="shared" si="2"/>
        <v>0</v>
      </c>
      <c r="AI68">
        <f t="shared" si="3"/>
        <v>0</v>
      </c>
    </row>
    <row r="69" spans="1:35" x14ac:dyDescent="0.25">
      <c r="A69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H69">
        <f t="shared" si="2"/>
        <v>29</v>
      </c>
      <c r="AI69">
        <f t="shared" si="3"/>
        <v>1</v>
      </c>
    </row>
    <row r="70" spans="1:35" x14ac:dyDescent="0.25">
      <c r="A70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H70">
        <f t="shared" si="2"/>
        <v>29</v>
      </c>
      <c r="AI70">
        <f t="shared" si="3"/>
        <v>1</v>
      </c>
    </row>
    <row r="71" spans="1:35" x14ac:dyDescent="0.25">
      <c r="A71">
        <v>69</v>
      </c>
      <c r="B71">
        <v>1</v>
      </c>
      <c r="C71">
        <v>1</v>
      </c>
      <c r="D71">
        <v>1</v>
      </c>
      <c r="E71">
        <v>1</v>
      </c>
      <c r="F71" t="s">
        <v>3</v>
      </c>
      <c r="G71" t="s">
        <v>3</v>
      </c>
      <c r="H71" t="s">
        <v>3</v>
      </c>
      <c r="I71" t="s">
        <v>3</v>
      </c>
      <c r="J71" t="s">
        <v>3</v>
      </c>
      <c r="K71" t="s">
        <v>3</v>
      </c>
      <c r="L71" t="s">
        <v>3</v>
      </c>
      <c r="M71" t="s">
        <v>3</v>
      </c>
      <c r="N71" t="s">
        <v>3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H71">
        <f t="shared" si="2"/>
        <v>15</v>
      </c>
      <c r="AI71">
        <f t="shared" si="3"/>
        <v>0.51724137931034486</v>
      </c>
    </row>
    <row r="72" spans="1:35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H72">
        <f t="shared" si="2"/>
        <v>0</v>
      </c>
      <c r="AI72">
        <f t="shared" si="3"/>
        <v>0</v>
      </c>
    </row>
    <row r="73" spans="1:35" x14ac:dyDescent="0.25">
      <c r="A73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H73">
        <f t="shared" si="2"/>
        <v>29</v>
      </c>
      <c r="AI73">
        <f t="shared" si="3"/>
        <v>1</v>
      </c>
    </row>
    <row r="74" spans="1:35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H74">
        <f t="shared" si="2"/>
        <v>0</v>
      </c>
      <c r="AI74">
        <f t="shared" si="3"/>
        <v>0</v>
      </c>
    </row>
    <row r="75" spans="1:35" x14ac:dyDescent="0.25">
      <c r="A75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H75">
        <f t="shared" si="2"/>
        <v>29</v>
      </c>
      <c r="AI75">
        <f t="shared" si="3"/>
        <v>1</v>
      </c>
    </row>
    <row r="76" spans="1:35" x14ac:dyDescent="0.25">
      <c r="A76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H76">
        <f t="shared" si="2"/>
        <v>29</v>
      </c>
      <c r="AI76">
        <f t="shared" si="3"/>
        <v>1</v>
      </c>
    </row>
    <row r="77" spans="1:35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H77">
        <f t="shared" si="2"/>
        <v>0</v>
      </c>
      <c r="AI77">
        <f t="shared" si="3"/>
        <v>0</v>
      </c>
    </row>
    <row r="78" spans="1:35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H78">
        <f t="shared" si="2"/>
        <v>0</v>
      </c>
      <c r="AI78">
        <f t="shared" si="3"/>
        <v>0</v>
      </c>
    </row>
    <row r="79" spans="1:35" x14ac:dyDescent="0.25">
      <c r="A79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H79">
        <f t="shared" si="2"/>
        <v>29</v>
      </c>
      <c r="AI79">
        <f t="shared" si="3"/>
        <v>1</v>
      </c>
    </row>
    <row r="80" spans="1:35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H80">
        <f t="shared" si="2"/>
        <v>0</v>
      </c>
      <c r="AI80">
        <f t="shared" si="3"/>
        <v>0</v>
      </c>
    </row>
    <row r="81" spans="1:35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H81">
        <f t="shared" si="2"/>
        <v>0</v>
      </c>
      <c r="AI81">
        <f t="shared" si="3"/>
        <v>0</v>
      </c>
    </row>
    <row r="82" spans="1:35" x14ac:dyDescent="0.25">
      <c r="A82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H82">
        <f t="shared" si="2"/>
        <v>29</v>
      </c>
      <c r="AI82">
        <f t="shared" si="3"/>
        <v>1</v>
      </c>
    </row>
    <row r="83" spans="1:35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H83">
        <f t="shared" si="2"/>
        <v>0</v>
      </c>
      <c r="AI83">
        <f t="shared" si="3"/>
        <v>0</v>
      </c>
    </row>
    <row r="84" spans="1:35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H84">
        <f t="shared" si="2"/>
        <v>0</v>
      </c>
      <c r="AI84">
        <f t="shared" si="3"/>
        <v>0</v>
      </c>
    </row>
    <row r="85" spans="1:35" x14ac:dyDescent="0.25">
      <c r="A85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H85">
        <f t="shared" si="2"/>
        <v>29</v>
      </c>
      <c r="AI85">
        <f t="shared" si="3"/>
        <v>1</v>
      </c>
    </row>
    <row r="86" spans="1:35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H86">
        <f t="shared" si="2"/>
        <v>0</v>
      </c>
      <c r="AI86">
        <f t="shared" si="3"/>
        <v>0</v>
      </c>
    </row>
    <row r="87" spans="1:35" x14ac:dyDescent="0.25">
      <c r="A87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H87">
        <f t="shared" si="2"/>
        <v>29</v>
      </c>
      <c r="AI87">
        <f t="shared" si="3"/>
        <v>1</v>
      </c>
    </row>
    <row r="88" spans="1:35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H88">
        <f t="shared" si="2"/>
        <v>0</v>
      </c>
      <c r="AI88">
        <f t="shared" si="3"/>
        <v>0</v>
      </c>
    </row>
    <row r="89" spans="1:35" x14ac:dyDescent="0.25">
      <c r="A89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H89">
        <f t="shared" si="2"/>
        <v>29</v>
      </c>
      <c r="AI89">
        <f t="shared" si="3"/>
        <v>1</v>
      </c>
    </row>
    <row r="90" spans="1:35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H90">
        <f t="shared" si="2"/>
        <v>0</v>
      </c>
      <c r="AI90">
        <f t="shared" si="3"/>
        <v>0</v>
      </c>
    </row>
    <row r="91" spans="1:35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H91">
        <f t="shared" si="2"/>
        <v>0</v>
      </c>
      <c r="AI91">
        <f t="shared" si="3"/>
        <v>0</v>
      </c>
    </row>
    <row r="92" spans="1:35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H92">
        <f t="shared" si="2"/>
        <v>0</v>
      </c>
      <c r="AI92">
        <f t="shared" si="3"/>
        <v>0</v>
      </c>
    </row>
    <row r="93" spans="1:35" x14ac:dyDescent="0.25">
      <c r="A93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 t="s">
        <v>3</v>
      </c>
      <c r="I93" t="s">
        <v>4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 t="s">
        <v>4</v>
      </c>
      <c r="X93" t="s">
        <v>3</v>
      </c>
      <c r="Y93" t="s">
        <v>4</v>
      </c>
      <c r="Z93" t="s">
        <v>4</v>
      </c>
      <c r="AA93" t="s">
        <v>4</v>
      </c>
      <c r="AB93" t="s">
        <v>4</v>
      </c>
      <c r="AC93" t="s">
        <v>4</v>
      </c>
      <c r="AD93" t="s">
        <v>4</v>
      </c>
      <c r="AH93">
        <f t="shared" si="2"/>
        <v>13</v>
      </c>
      <c r="AI93">
        <f t="shared" si="3"/>
        <v>0.44827586206896552</v>
      </c>
    </row>
    <row r="94" spans="1:35" x14ac:dyDescent="0.25">
      <c r="A94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H94">
        <f t="shared" si="2"/>
        <v>29</v>
      </c>
      <c r="AI94">
        <f t="shared" si="3"/>
        <v>1</v>
      </c>
    </row>
    <row r="95" spans="1:35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H95">
        <f t="shared" si="2"/>
        <v>0</v>
      </c>
      <c r="AI95">
        <f t="shared" si="3"/>
        <v>0</v>
      </c>
    </row>
    <row r="96" spans="1:35" x14ac:dyDescent="0.25">
      <c r="A96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H96">
        <f t="shared" si="2"/>
        <v>29</v>
      </c>
      <c r="AI96">
        <f t="shared" si="3"/>
        <v>1</v>
      </c>
    </row>
    <row r="97" spans="1:35" x14ac:dyDescent="0.25">
      <c r="A97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  <c r="M97" t="s">
        <v>3</v>
      </c>
      <c r="N97" t="s">
        <v>3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3</v>
      </c>
      <c r="X97" t="s">
        <v>3</v>
      </c>
      <c r="Y97" t="s">
        <v>3</v>
      </c>
      <c r="Z97" t="s">
        <v>3</v>
      </c>
      <c r="AA97" t="s">
        <v>3</v>
      </c>
      <c r="AB97" t="s">
        <v>3</v>
      </c>
      <c r="AC97" t="s">
        <v>3</v>
      </c>
      <c r="AD97" t="s">
        <v>3</v>
      </c>
      <c r="AH97">
        <f t="shared" si="2"/>
        <v>6</v>
      </c>
      <c r="AI97">
        <f t="shared" si="3"/>
        <v>0.20689655172413793</v>
      </c>
    </row>
    <row r="98" spans="1:35" x14ac:dyDescent="0.25">
      <c r="A98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H98">
        <f t="shared" si="2"/>
        <v>29</v>
      </c>
      <c r="AI98">
        <f t="shared" si="3"/>
        <v>1</v>
      </c>
    </row>
    <row r="99" spans="1:35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H99">
        <f t="shared" si="2"/>
        <v>0</v>
      </c>
      <c r="AI99">
        <f t="shared" si="3"/>
        <v>0</v>
      </c>
    </row>
    <row r="100" spans="1:35" x14ac:dyDescent="0.25">
      <c r="A100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H100">
        <f t="shared" si="2"/>
        <v>29</v>
      </c>
      <c r="AI100">
        <f t="shared" si="3"/>
        <v>1</v>
      </c>
    </row>
    <row r="101" spans="1:35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H101">
        <f t="shared" si="2"/>
        <v>0</v>
      </c>
      <c r="AI101">
        <f t="shared" si="3"/>
        <v>0</v>
      </c>
    </row>
    <row r="102" spans="1:35" x14ac:dyDescent="0.25">
      <c r="A102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H102">
        <f t="shared" si="2"/>
        <v>29</v>
      </c>
      <c r="AI102">
        <f t="shared" si="3"/>
        <v>1</v>
      </c>
    </row>
    <row r="103" spans="1:35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H103">
        <f t="shared" si="2"/>
        <v>0</v>
      </c>
      <c r="AI103">
        <f t="shared" si="3"/>
        <v>0</v>
      </c>
    </row>
    <row r="104" spans="1:35" x14ac:dyDescent="0.25">
      <c r="A104">
        <v>102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H104">
        <f t="shared" si="2"/>
        <v>29</v>
      </c>
      <c r="AI104">
        <f t="shared" si="3"/>
        <v>1</v>
      </c>
    </row>
    <row r="105" spans="1:35" x14ac:dyDescent="0.25">
      <c r="A105">
        <v>103</v>
      </c>
      <c r="B105" t="s">
        <v>3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3</v>
      </c>
      <c r="N105" t="s">
        <v>3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H105">
        <f t="shared" si="2"/>
        <v>0</v>
      </c>
      <c r="AI105">
        <f t="shared" si="3"/>
        <v>0</v>
      </c>
    </row>
    <row r="106" spans="1:35" x14ac:dyDescent="0.25">
      <c r="A106">
        <v>104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H106">
        <f t="shared" si="2"/>
        <v>29</v>
      </c>
      <c r="AI106">
        <f t="shared" si="3"/>
        <v>1</v>
      </c>
    </row>
    <row r="107" spans="1:35" x14ac:dyDescent="0.25">
      <c r="A107">
        <v>105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H107">
        <f t="shared" si="2"/>
        <v>29</v>
      </c>
      <c r="AI107">
        <f t="shared" si="3"/>
        <v>1</v>
      </c>
    </row>
    <row r="108" spans="1:35" x14ac:dyDescent="0.25">
      <c r="A108">
        <v>106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H108">
        <f t="shared" si="2"/>
        <v>29</v>
      </c>
      <c r="AI108">
        <f t="shared" si="3"/>
        <v>1</v>
      </c>
    </row>
    <row r="109" spans="1:35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H109">
        <f t="shared" si="2"/>
        <v>0</v>
      </c>
      <c r="AI109">
        <f t="shared" si="3"/>
        <v>0</v>
      </c>
    </row>
    <row r="110" spans="1:35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H110">
        <f t="shared" si="2"/>
        <v>0</v>
      </c>
      <c r="AI110">
        <f t="shared" si="3"/>
        <v>0</v>
      </c>
    </row>
    <row r="111" spans="1:35" x14ac:dyDescent="0.25">
      <c r="A111">
        <v>109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H111">
        <f t="shared" si="2"/>
        <v>29</v>
      </c>
      <c r="AI111">
        <f t="shared" si="3"/>
        <v>1</v>
      </c>
    </row>
    <row r="112" spans="1:35" x14ac:dyDescent="0.25">
      <c r="A112">
        <v>110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H112">
        <f t="shared" si="2"/>
        <v>29</v>
      </c>
      <c r="AI112">
        <f t="shared" si="3"/>
        <v>1</v>
      </c>
    </row>
    <row r="113" spans="1:35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H113">
        <f t="shared" si="2"/>
        <v>0</v>
      </c>
      <c r="AI113">
        <f t="shared" si="3"/>
        <v>0</v>
      </c>
    </row>
    <row r="114" spans="1:35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H114">
        <f t="shared" si="2"/>
        <v>0</v>
      </c>
      <c r="AI114">
        <f t="shared" si="3"/>
        <v>0</v>
      </c>
    </row>
    <row r="115" spans="1:35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  <c r="M115" t="s">
        <v>3</v>
      </c>
      <c r="N115" t="s">
        <v>3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H115">
        <f t="shared" si="2"/>
        <v>11</v>
      </c>
      <c r="AI115">
        <f t="shared" si="3"/>
        <v>0.37931034482758619</v>
      </c>
    </row>
    <row r="116" spans="1:35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H116">
        <f t="shared" si="2"/>
        <v>0</v>
      </c>
      <c r="AI116">
        <f t="shared" si="3"/>
        <v>0</v>
      </c>
    </row>
    <row r="117" spans="1:35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H117">
        <f t="shared" si="2"/>
        <v>0</v>
      </c>
      <c r="AI117">
        <f t="shared" si="3"/>
        <v>0</v>
      </c>
    </row>
    <row r="118" spans="1:35" x14ac:dyDescent="0.25">
      <c r="A118">
        <v>116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 t="s">
        <v>3</v>
      </c>
      <c r="I118" t="s">
        <v>4</v>
      </c>
      <c r="J118" t="s">
        <v>4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H118">
        <f t="shared" si="2"/>
        <v>26</v>
      </c>
      <c r="AI118">
        <f t="shared" si="3"/>
        <v>0.89655172413793105</v>
      </c>
    </row>
    <row r="119" spans="1:35" x14ac:dyDescent="0.25">
      <c r="A119">
        <v>117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H119">
        <f t="shared" si="2"/>
        <v>29</v>
      </c>
      <c r="AI119">
        <f t="shared" si="3"/>
        <v>1</v>
      </c>
    </row>
    <row r="120" spans="1:35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H120">
        <f t="shared" si="2"/>
        <v>0</v>
      </c>
      <c r="AI120">
        <f t="shared" si="3"/>
        <v>0</v>
      </c>
    </row>
    <row r="121" spans="1:35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H121">
        <f t="shared" si="2"/>
        <v>0</v>
      </c>
      <c r="AI121">
        <f t="shared" si="3"/>
        <v>0</v>
      </c>
    </row>
    <row r="122" spans="1:35" x14ac:dyDescent="0.25">
      <c r="A122">
        <v>120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H122">
        <f t="shared" si="2"/>
        <v>29</v>
      </c>
      <c r="AI122">
        <f t="shared" si="3"/>
        <v>1</v>
      </c>
    </row>
    <row r="123" spans="1:35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H123">
        <f t="shared" si="2"/>
        <v>0</v>
      </c>
      <c r="AI123">
        <f t="shared" si="3"/>
        <v>0</v>
      </c>
    </row>
    <row r="124" spans="1:35" x14ac:dyDescent="0.25">
      <c r="A124">
        <v>122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H124">
        <f t="shared" si="2"/>
        <v>29</v>
      </c>
      <c r="AI124">
        <f t="shared" si="3"/>
        <v>1</v>
      </c>
    </row>
    <row r="125" spans="1:35" x14ac:dyDescent="0.25">
      <c r="A125">
        <v>123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 t="s">
        <v>3</v>
      </c>
      <c r="I125" t="s">
        <v>3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H125">
        <f t="shared" si="2"/>
        <v>27</v>
      </c>
      <c r="AI125">
        <f t="shared" si="3"/>
        <v>0.93103448275862066</v>
      </c>
    </row>
    <row r="126" spans="1:35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H126">
        <f t="shared" si="2"/>
        <v>0</v>
      </c>
      <c r="AI126">
        <f t="shared" si="3"/>
        <v>0</v>
      </c>
    </row>
    <row r="127" spans="1:35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H127">
        <f t="shared" si="2"/>
        <v>21</v>
      </c>
      <c r="AI127">
        <f t="shared" si="3"/>
        <v>0.72413793103448276</v>
      </c>
    </row>
    <row r="128" spans="1:35" x14ac:dyDescent="0.25">
      <c r="A128">
        <v>126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H128">
        <f t="shared" si="2"/>
        <v>29</v>
      </c>
      <c r="AI128">
        <f t="shared" si="3"/>
        <v>1</v>
      </c>
    </row>
    <row r="129" spans="1:35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H129">
        <f t="shared" si="2"/>
        <v>0</v>
      </c>
      <c r="AI129">
        <f t="shared" si="3"/>
        <v>0</v>
      </c>
    </row>
    <row r="130" spans="1:35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H130">
        <f t="shared" si="2"/>
        <v>0</v>
      </c>
      <c r="AI130">
        <f t="shared" si="3"/>
        <v>0</v>
      </c>
    </row>
    <row r="131" spans="1:35" x14ac:dyDescent="0.25">
      <c r="A131">
        <v>129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H131">
        <f t="shared" ref="AH131:AH194" si="4">SUM(B131:AD131)</f>
        <v>29</v>
      </c>
      <c r="AI131">
        <f t="shared" ref="AI131:AI194" si="5">AH131/29</f>
        <v>1</v>
      </c>
    </row>
    <row r="132" spans="1:35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H132">
        <f t="shared" si="4"/>
        <v>0</v>
      </c>
      <c r="AI132">
        <f t="shared" si="5"/>
        <v>0</v>
      </c>
    </row>
    <row r="133" spans="1:35" x14ac:dyDescent="0.25">
      <c r="A133">
        <v>131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H133">
        <f t="shared" si="4"/>
        <v>29</v>
      </c>
      <c r="AI133">
        <f t="shared" si="5"/>
        <v>1</v>
      </c>
    </row>
    <row r="134" spans="1:35" x14ac:dyDescent="0.25">
      <c r="A134">
        <v>132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H134">
        <f t="shared" si="4"/>
        <v>29</v>
      </c>
      <c r="AI134">
        <f t="shared" si="5"/>
        <v>1</v>
      </c>
    </row>
    <row r="135" spans="1:35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H135">
        <f t="shared" si="4"/>
        <v>0</v>
      </c>
      <c r="AI135">
        <f t="shared" si="5"/>
        <v>0</v>
      </c>
    </row>
    <row r="136" spans="1:35" x14ac:dyDescent="0.25">
      <c r="A136">
        <v>134</v>
      </c>
      <c r="B136">
        <v>1</v>
      </c>
      <c r="C136">
        <v>1</v>
      </c>
      <c r="D136">
        <v>1</v>
      </c>
      <c r="E136">
        <v>1</v>
      </c>
      <c r="F136" t="s">
        <v>3</v>
      </c>
      <c r="G136" t="s">
        <v>3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H136">
        <f t="shared" si="4"/>
        <v>27</v>
      </c>
      <c r="AI136">
        <f t="shared" si="5"/>
        <v>0.93103448275862066</v>
      </c>
    </row>
    <row r="137" spans="1:35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H137">
        <f t="shared" si="4"/>
        <v>0</v>
      </c>
      <c r="AI137">
        <f t="shared" si="5"/>
        <v>0</v>
      </c>
    </row>
    <row r="138" spans="1:35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3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H138">
        <f t="shared" si="4"/>
        <v>0</v>
      </c>
      <c r="AI138">
        <f t="shared" si="5"/>
        <v>0</v>
      </c>
    </row>
    <row r="139" spans="1:35" x14ac:dyDescent="0.25">
      <c r="A139">
        <v>137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H139">
        <f t="shared" si="4"/>
        <v>29</v>
      </c>
      <c r="AI139">
        <f t="shared" si="5"/>
        <v>1</v>
      </c>
    </row>
    <row r="140" spans="1:35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H140">
        <f t="shared" si="4"/>
        <v>0</v>
      </c>
      <c r="AI140">
        <f t="shared" si="5"/>
        <v>0</v>
      </c>
    </row>
    <row r="141" spans="1:35" x14ac:dyDescent="0.25">
      <c r="A141">
        <v>139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H141">
        <f t="shared" si="4"/>
        <v>29</v>
      </c>
      <c r="AI141">
        <f t="shared" si="5"/>
        <v>1</v>
      </c>
    </row>
    <row r="142" spans="1:35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4</v>
      </c>
      <c r="AC142" t="s">
        <v>3</v>
      </c>
      <c r="AD142" t="s">
        <v>4</v>
      </c>
      <c r="AH142">
        <f t="shared" si="4"/>
        <v>0</v>
      </c>
      <c r="AI142">
        <f t="shared" si="5"/>
        <v>0</v>
      </c>
    </row>
    <row r="143" spans="1:35" x14ac:dyDescent="0.25">
      <c r="A143">
        <v>141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H143">
        <f t="shared" si="4"/>
        <v>29</v>
      </c>
      <c r="AI143">
        <f t="shared" si="5"/>
        <v>1</v>
      </c>
    </row>
    <row r="144" spans="1:35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H144">
        <f t="shared" si="4"/>
        <v>0</v>
      </c>
      <c r="AI144">
        <f t="shared" si="5"/>
        <v>0</v>
      </c>
    </row>
    <row r="145" spans="1:35" x14ac:dyDescent="0.25">
      <c r="A145">
        <v>143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H145">
        <f t="shared" si="4"/>
        <v>29</v>
      </c>
      <c r="AI145">
        <f t="shared" si="5"/>
        <v>1</v>
      </c>
    </row>
    <row r="146" spans="1:35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H146">
        <f t="shared" si="4"/>
        <v>0</v>
      </c>
      <c r="AI146">
        <f t="shared" si="5"/>
        <v>0</v>
      </c>
    </row>
    <row r="147" spans="1:35" x14ac:dyDescent="0.25">
      <c r="A147">
        <v>145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H147">
        <f t="shared" si="4"/>
        <v>29</v>
      </c>
      <c r="AI147">
        <f t="shared" si="5"/>
        <v>1</v>
      </c>
    </row>
    <row r="148" spans="1:35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H148">
        <f t="shared" si="4"/>
        <v>0</v>
      </c>
      <c r="AI148">
        <f t="shared" si="5"/>
        <v>0</v>
      </c>
    </row>
    <row r="149" spans="1:35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H149">
        <f t="shared" si="4"/>
        <v>0</v>
      </c>
      <c r="AI149">
        <f t="shared" si="5"/>
        <v>0</v>
      </c>
    </row>
    <row r="150" spans="1:35" x14ac:dyDescent="0.25">
      <c r="A150">
        <v>148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H150">
        <f t="shared" si="4"/>
        <v>29</v>
      </c>
      <c r="AI150">
        <f t="shared" si="5"/>
        <v>1</v>
      </c>
    </row>
    <row r="151" spans="1:35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H151">
        <f t="shared" si="4"/>
        <v>0</v>
      </c>
      <c r="AI151">
        <f t="shared" si="5"/>
        <v>0</v>
      </c>
    </row>
    <row r="152" spans="1:35" x14ac:dyDescent="0.25">
      <c r="A152">
        <v>150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H152">
        <f t="shared" si="4"/>
        <v>29</v>
      </c>
      <c r="AI152">
        <f t="shared" si="5"/>
        <v>1</v>
      </c>
    </row>
    <row r="153" spans="1:35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H153">
        <f t="shared" si="4"/>
        <v>0</v>
      </c>
      <c r="AI153">
        <f t="shared" si="5"/>
        <v>0</v>
      </c>
    </row>
    <row r="154" spans="1:35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H154">
        <f t="shared" si="4"/>
        <v>0</v>
      </c>
      <c r="AI154">
        <f t="shared" si="5"/>
        <v>0</v>
      </c>
    </row>
    <row r="155" spans="1:35" x14ac:dyDescent="0.25">
      <c r="A155">
        <v>153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 t="s">
        <v>3</v>
      </c>
      <c r="I155" t="s">
        <v>3</v>
      </c>
      <c r="J155" t="s">
        <v>4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H155">
        <f t="shared" si="4"/>
        <v>26</v>
      </c>
      <c r="AI155">
        <f t="shared" si="5"/>
        <v>0.89655172413793105</v>
      </c>
    </row>
    <row r="156" spans="1:35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H156">
        <f t="shared" si="4"/>
        <v>0</v>
      </c>
      <c r="AI156">
        <f t="shared" si="5"/>
        <v>0</v>
      </c>
    </row>
    <row r="157" spans="1:35" x14ac:dyDescent="0.25">
      <c r="A157">
        <v>155</v>
      </c>
      <c r="B157">
        <v>1</v>
      </c>
      <c r="C157">
        <v>1</v>
      </c>
      <c r="D157">
        <v>1</v>
      </c>
      <c r="E157">
        <v>1</v>
      </c>
      <c r="F157" t="s">
        <v>3</v>
      </c>
      <c r="G157">
        <v>1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H157">
        <f t="shared" si="4"/>
        <v>5</v>
      </c>
      <c r="AI157">
        <f t="shared" si="5"/>
        <v>0.17241379310344829</v>
      </c>
    </row>
    <row r="158" spans="1:35" x14ac:dyDescent="0.25">
      <c r="A158">
        <v>156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H158">
        <f t="shared" si="4"/>
        <v>29</v>
      </c>
      <c r="AI158">
        <f t="shared" si="5"/>
        <v>1</v>
      </c>
    </row>
    <row r="159" spans="1:35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H159">
        <f t="shared" si="4"/>
        <v>0</v>
      </c>
      <c r="AI159">
        <f t="shared" si="5"/>
        <v>0</v>
      </c>
    </row>
    <row r="160" spans="1:35" x14ac:dyDescent="0.25">
      <c r="A160">
        <v>158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H160">
        <f t="shared" si="4"/>
        <v>29</v>
      </c>
      <c r="AI160">
        <f t="shared" si="5"/>
        <v>1</v>
      </c>
    </row>
    <row r="161" spans="1:35" x14ac:dyDescent="0.25">
      <c r="A161">
        <v>159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 t="s">
        <v>3</v>
      </c>
      <c r="Q161" t="s">
        <v>3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H161">
        <f t="shared" si="4"/>
        <v>14</v>
      </c>
      <c r="AI161">
        <f t="shared" si="5"/>
        <v>0.48275862068965519</v>
      </c>
    </row>
    <row r="162" spans="1:35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H162">
        <f t="shared" si="4"/>
        <v>0</v>
      </c>
      <c r="AI162">
        <f t="shared" si="5"/>
        <v>0</v>
      </c>
    </row>
    <row r="163" spans="1:35" x14ac:dyDescent="0.25">
      <c r="A163">
        <v>161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H163">
        <f t="shared" si="4"/>
        <v>29</v>
      </c>
      <c r="AI163">
        <f t="shared" si="5"/>
        <v>1</v>
      </c>
    </row>
    <row r="164" spans="1:35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H164">
        <f t="shared" si="4"/>
        <v>0</v>
      </c>
      <c r="AI164">
        <f t="shared" si="5"/>
        <v>0</v>
      </c>
    </row>
    <row r="165" spans="1:35" x14ac:dyDescent="0.25">
      <c r="A165">
        <v>163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H165">
        <f t="shared" si="4"/>
        <v>29</v>
      </c>
      <c r="AI165">
        <f t="shared" si="5"/>
        <v>1</v>
      </c>
    </row>
    <row r="166" spans="1:35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H166">
        <f t="shared" si="4"/>
        <v>0</v>
      </c>
      <c r="AI166">
        <f t="shared" si="5"/>
        <v>0</v>
      </c>
    </row>
    <row r="167" spans="1:35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H167">
        <f t="shared" si="4"/>
        <v>0</v>
      </c>
      <c r="AI167">
        <f t="shared" si="5"/>
        <v>0</v>
      </c>
    </row>
    <row r="168" spans="1:35" x14ac:dyDescent="0.25">
      <c r="A168">
        <v>166</v>
      </c>
      <c r="B168">
        <v>1</v>
      </c>
      <c r="C168">
        <v>1</v>
      </c>
      <c r="D168">
        <v>1</v>
      </c>
      <c r="E168">
        <v>1</v>
      </c>
      <c r="F168" t="s">
        <v>3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 t="s">
        <v>3</v>
      </c>
      <c r="M168" t="s">
        <v>3</v>
      </c>
      <c r="N168" t="s">
        <v>3</v>
      </c>
      <c r="O168" t="s">
        <v>3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3</v>
      </c>
      <c r="W168" t="s">
        <v>3</v>
      </c>
      <c r="X168" t="s">
        <v>3</v>
      </c>
      <c r="Y168" t="s">
        <v>3</v>
      </c>
      <c r="Z168" t="s">
        <v>3</v>
      </c>
      <c r="AA168" t="s">
        <v>3</v>
      </c>
      <c r="AB168" t="s">
        <v>3</v>
      </c>
      <c r="AC168" t="s">
        <v>3</v>
      </c>
      <c r="AD168" t="s">
        <v>3</v>
      </c>
      <c r="AH168">
        <f t="shared" si="4"/>
        <v>4</v>
      </c>
      <c r="AI168">
        <f t="shared" si="5"/>
        <v>0.13793103448275862</v>
      </c>
    </row>
    <row r="169" spans="1:35" x14ac:dyDescent="0.25">
      <c r="A169">
        <v>167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H169">
        <f t="shared" si="4"/>
        <v>29</v>
      </c>
      <c r="AI169">
        <f t="shared" si="5"/>
        <v>1</v>
      </c>
    </row>
    <row r="170" spans="1:35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H170">
        <f t="shared" si="4"/>
        <v>0</v>
      </c>
      <c r="AI170">
        <f t="shared" si="5"/>
        <v>0</v>
      </c>
    </row>
    <row r="171" spans="1:35" x14ac:dyDescent="0.25">
      <c r="A171">
        <v>169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H171">
        <f t="shared" si="4"/>
        <v>29</v>
      </c>
      <c r="AI171">
        <f t="shared" si="5"/>
        <v>1</v>
      </c>
    </row>
    <row r="172" spans="1:35" x14ac:dyDescent="0.25">
      <c r="A172">
        <v>170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 t="s">
        <v>3</v>
      </c>
      <c r="J172" t="s">
        <v>3</v>
      </c>
      <c r="K172" t="s">
        <v>3</v>
      </c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H172">
        <f t="shared" si="4"/>
        <v>7</v>
      </c>
      <c r="AI172">
        <f t="shared" si="5"/>
        <v>0.2413793103448276</v>
      </c>
    </row>
    <row r="173" spans="1:35" x14ac:dyDescent="0.25">
      <c r="A173">
        <v>171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H173">
        <f t="shared" si="4"/>
        <v>29</v>
      </c>
      <c r="AI173">
        <f t="shared" si="5"/>
        <v>1</v>
      </c>
    </row>
    <row r="174" spans="1:35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H174">
        <f t="shared" si="4"/>
        <v>0</v>
      </c>
      <c r="AI174">
        <f t="shared" si="5"/>
        <v>0</v>
      </c>
    </row>
    <row r="175" spans="1:35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H175">
        <f t="shared" si="4"/>
        <v>0</v>
      </c>
      <c r="AI175">
        <f t="shared" si="5"/>
        <v>0</v>
      </c>
    </row>
    <row r="176" spans="1:35" x14ac:dyDescent="0.25">
      <c r="A176">
        <v>174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H176">
        <f t="shared" si="4"/>
        <v>29</v>
      </c>
      <c r="AI176">
        <f t="shared" si="5"/>
        <v>1</v>
      </c>
    </row>
    <row r="177" spans="1:35" x14ac:dyDescent="0.25">
      <c r="A177">
        <v>175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H177">
        <f t="shared" si="4"/>
        <v>29</v>
      </c>
      <c r="AI177">
        <f t="shared" si="5"/>
        <v>1</v>
      </c>
    </row>
    <row r="178" spans="1:35" x14ac:dyDescent="0.25">
      <c r="A178">
        <v>176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H178">
        <f t="shared" si="4"/>
        <v>29</v>
      </c>
      <c r="AI178">
        <f t="shared" si="5"/>
        <v>1</v>
      </c>
    </row>
    <row r="179" spans="1:35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H179">
        <f t="shared" si="4"/>
        <v>0</v>
      </c>
      <c r="AI179">
        <f t="shared" si="5"/>
        <v>0</v>
      </c>
    </row>
    <row r="180" spans="1:35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H180">
        <f t="shared" si="4"/>
        <v>0</v>
      </c>
      <c r="AI180">
        <f t="shared" si="5"/>
        <v>0</v>
      </c>
    </row>
    <row r="181" spans="1:35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H181">
        <f t="shared" si="4"/>
        <v>0</v>
      </c>
      <c r="AI181">
        <f t="shared" si="5"/>
        <v>0</v>
      </c>
    </row>
    <row r="182" spans="1:35" x14ac:dyDescent="0.25">
      <c r="A182">
        <v>180</v>
      </c>
      <c r="B182">
        <v>1</v>
      </c>
      <c r="C182" t="s">
        <v>3</v>
      </c>
      <c r="D182" t="s">
        <v>3</v>
      </c>
      <c r="E182" t="s">
        <v>3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H182">
        <f t="shared" si="4"/>
        <v>26</v>
      </c>
      <c r="AI182">
        <f t="shared" si="5"/>
        <v>0.89655172413793105</v>
      </c>
    </row>
    <row r="183" spans="1:35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H183">
        <f t="shared" si="4"/>
        <v>0</v>
      </c>
      <c r="AI183">
        <f t="shared" si="5"/>
        <v>0</v>
      </c>
    </row>
    <row r="184" spans="1:35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3</v>
      </c>
      <c r="AD184" t="s">
        <v>3</v>
      </c>
      <c r="AH184">
        <f t="shared" si="4"/>
        <v>0</v>
      </c>
      <c r="AI184">
        <f t="shared" si="5"/>
        <v>0</v>
      </c>
    </row>
    <row r="185" spans="1:35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H185">
        <f t="shared" si="4"/>
        <v>0</v>
      </c>
      <c r="AI185">
        <f t="shared" si="5"/>
        <v>0</v>
      </c>
    </row>
    <row r="186" spans="1:35" x14ac:dyDescent="0.25">
      <c r="A186">
        <v>184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H186">
        <f t="shared" si="4"/>
        <v>29</v>
      </c>
      <c r="AI186">
        <f t="shared" si="5"/>
        <v>1</v>
      </c>
    </row>
    <row r="187" spans="1:35" x14ac:dyDescent="0.25">
      <c r="A187">
        <v>185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H187">
        <f t="shared" si="4"/>
        <v>29</v>
      </c>
      <c r="AI187">
        <f t="shared" si="5"/>
        <v>1</v>
      </c>
    </row>
    <row r="188" spans="1:35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H188">
        <f t="shared" si="4"/>
        <v>0</v>
      </c>
      <c r="AI188">
        <f t="shared" si="5"/>
        <v>0</v>
      </c>
    </row>
    <row r="189" spans="1:35" x14ac:dyDescent="0.25">
      <c r="A189">
        <v>187</v>
      </c>
      <c r="B189">
        <v>1</v>
      </c>
      <c r="C189" t="s">
        <v>3</v>
      </c>
      <c r="D189" t="s">
        <v>3</v>
      </c>
      <c r="E189" t="s">
        <v>3</v>
      </c>
      <c r="F189" t="s">
        <v>3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H189">
        <f t="shared" si="4"/>
        <v>1</v>
      </c>
      <c r="AI189">
        <f t="shared" si="5"/>
        <v>3.4482758620689655E-2</v>
      </c>
    </row>
    <row r="190" spans="1:35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H190">
        <f t="shared" si="4"/>
        <v>15</v>
      </c>
      <c r="AI190">
        <f t="shared" si="5"/>
        <v>0.51724137931034486</v>
      </c>
    </row>
    <row r="191" spans="1:35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H191">
        <f t="shared" si="4"/>
        <v>0</v>
      </c>
      <c r="AI191">
        <f t="shared" si="5"/>
        <v>0</v>
      </c>
    </row>
    <row r="192" spans="1:35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H192">
        <f t="shared" si="4"/>
        <v>0</v>
      </c>
      <c r="AI192">
        <f t="shared" si="5"/>
        <v>0</v>
      </c>
    </row>
    <row r="193" spans="1:35" x14ac:dyDescent="0.25">
      <c r="A193">
        <v>191</v>
      </c>
      <c r="B193" t="s">
        <v>3</v>
      </c>
      <c r="C193" t="s">
        <v>3</v>
      </c>
      <c r="D193" t="s">
        <v>3</v>
      </c>
      <c r="E193" t="s">
        <v>3</v>
      </c>
      <c r="F193" t="s">
        <v>3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3</v>
      </c>
      <c r="W193" t="s">
        <v>3</v>
      </c>
      <c r="X193" t="s">
        <v>3</v>
      </c>
      <c r="Y193" t="s">
        <v>3</v>
      </c>
      <c r="Z193" t="s">
        <v>3</v>
      </c>
      <c r="AA193" t="s">
        <v>3</v>
      </c>
      <c r="AB193" t="s">
        <v>3</v>
      </c>
      <c r="AC193" t="s">
        <v>3</v>
      </c>
      <c r="AD193" t="s">
        <v>3</v>
      </c>
      <c r="AH193">
        <f t="shared" si="4"/>
        <v>0</v>
      </c>
      <c r="AI193">
        <f t="shared" si="5"/>
        <v>0</v>
      </c>
    </row>
    <row r="194" spans="1:35" x14ac:dyDescent="0.25">
      <c r="A194">
        <v>192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H194">
        <f t="shared" si="4"/>
        <v>29</v>
      </c>
      <c r="AI194">
        <f t="shared" si="5"/>
        <v>1</v>
      </c>
    </row>
    <row r="195" spans="1:35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H195">
        <f t="shared" ref="AH195:AH201" si="6">SUM(B195:AD195)</f>
        <v>0</v>
      </c>
      <c r="AI195">
        <f t="shared" ref="AI195:AI201" si="7">AH195/29</f>
        <v>0</v>
      </c>
    </row>
    <row r="196" spans="1:35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H196">
        <f t="shared" si="6"/>
        <v>0</v>
      </c>
      <c r="AI196">
        <f t="shared" si="7"/>
        <v>0</v>
      </c>
    </row>
    <row r="197" spans="1:35" x14ac:dyDescent="0.25">
      <c r="A197">
        <v>195</v>
      </c>
      <c r="B197">
        <v>1</v>
      </c>
      <c r="C197">
        <v>1</v>
      </c>
      <c r="D197">
        <v>1</v>
      </c>
      <c r="E197">
        <v>1</v>
      </c>
      <c r="F197" t="s">
        <v>3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  <c r="M197" t="s">
        <v>3</v>
      </c>
      <c r="N197">
        <v>1</v>
      </c>
      <c r="O197">
        <v>1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3</v>
      </c>
      <c r="W197" t="s">
        <v>3</v>
      </c>
      <c r="X197" t="s">
        <v>3</v>
      </c>
      <c r="Y197" t="s">
        <v>3</v>
      </c>
      <c r="Z197" t="s">
        <v>3</v>
      </c>
      <c r="AA197" t="s">
        <v>3</v>
      </c>
      <c r="AB197" t="s">
        <v>3</v>
      </c>
      <c r="AC197" t="s">
        <v>3</v>
      </c>
      <c r="AD197" t="s">
        <v>3</v>
      </c>
      <c r="AH197">
        <f t="shared" si="6"/>
        <v>6</v>
      </c>
      <c r="AI197">
        <f t="shared" si="7"/>
        <v>0.20689655172413793</v>
      </c>
    </row>
    <row r="198" spans="1:35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H198">
        <f t="shared" si="6"/>
        <v>0</v>
      </c>
      <c r="AI198">
        <f t="shared" si="7"/>
        <v>0</v>
      </c>
    </row>
    <row r="199" spans="1:35" x14ac:dyDescent="0.25">
      <c r="A199">
        <v>197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H199">
        <f t="shared" si="6"/>
        <v>29</v>
      </c>
      <c r="AI199">
        <f t="shared" si="7"/>
        <v>1</v>
      </c>
    </row>
    <row r="200" spans="1:35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>
        <v>1</v>
      </c>
      <c r="G200">
        <v>1</v>
      </c>
      <c r="H200">
        <v>1</v>
      </c>
      <c r="I200">
        <v>1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>
        <v>1</v>
      </c>
      <c r="U200">
        <v>1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H200">
        <f t="shared" si="6"/>
        <v>6</v>
      </c>
      <c r="AI200">
        <f t="shared" si="7"/>
        <v>0.20689655172413793</v>
      </c>
    </row>
    <row r="201" spans="1:35" x14ac:dyDescent="0.25">
      <c r="A201">
        <v>199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H201">
        <f t="shared" si="6"/>
        <v>29</v>
      </c>
      <c r="AI201">
        <f t="shared" si="7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0B35-78C3-4BC4-9B31-3D18CA5492DD}">
  <dimension ref="A1:J201"/>
  <sheetViews>
    <sheetView topLeftCell="A164" zoomScale="85" zoomScaleNormal="85" workbookViewId="0">
      <selection activeCell="T180" sqref="T180"/>
    </sheetView>
  </sheetViews>
  <sheetFormatPr baseColWidth="10" defaultRowHeight="15" x14ac:dyDescent="0.25"/>
  <cols>
    <col min="1" max="1" width="14.5703125" customWidth="1"/>
    <col min="2" max="2" width="15.5703125" customWidth="1"/>
    <col min="3" max="3" width="15.42578125" customWidth="1"/>
    <col min="5" max="5" width="17.85546875" customWidth="1"/>
  </cols>
  <sheetData>
    <row r="1" spans="1:10" x14ac:dyDescent="0.25">
      <c r="A1" t="str">
        <f>probaPass!AG1</f>
        <v>Proba_pass</v>
      </c>
      <c r="B1" t="str">
        <f>probaFail!AH1</f>
        <v>Proba_fail</v>
      </c>
      <c r="C1" t="str">
        <f>probaDropout!AI1</f>
        <v>Proba_dropout</v>
      </c>
      <c r="E1" t="s">
        <v>26</v>
      </c>
      <c r="J1" t="s">
        <v>27</v>
      </c>
    </row>
    <row r="2" spans="1:10" x14ac:dyDescent="0.25">
      <c r="A2">
        <f>probaPass!AG2</f>
        <v>0.10344827586206896</v>
      </c>
      <c r="B2">
        <f>probaFail!AH2</f>
        <v>0</v>
      </c>
      <c r="C2">
        <f>probaDropout!AI2</f>
        <v>0.89655172413793105</v>
      </c>
      <c r="E2" t="str">
        <f>_xlfn.CONCAT("[",A2,";",B2,";",C2,"]")</f>
        <v>[0,103448275862069;0;0,896551724137931]</v>
      </c>
      <c r="J2" t="str">
        <f>E2</f>
        <v>[0,103448275862069;0;0,896551724137931]</v>
      </c>
    </row>
    <row r="3" spans="1:10" x14ac:dyDescent="0.25">
      <c r="A3">
        <f>probaPass!AG3</f>
        <v>0</v>
      </c>
      <c r="B3">
        <f>probaFail!AH3</f>
        <v>0</v>
      </c>
      <c r="C3">
        <f>probaDropout!AI3</f>
        <v>1</v>
      </c>
      <c r="E3" t="str">
        <f t="shared" ref="E3:E66" si="0">_xlfn.CONCAT("[",A3,";",B3,";",C3,"]")</f>
        <v>[0;0;1]</v>
      </c>
      <c r="J3" t="str">
        <f>_xlfn.CONCAT(J2,";",E3)</f>
        <v>[0,103448275862069;0;0,896551724137931];[0;0;1]</v>
      </c>
    </row>
    <row r="4" spans="1:10" x14ac:dyDescent="0.25">
      <c r="A4">
        <f>probaPass!AG4</f>
        <v>1</v>
      </c>
      <c r="B4">
        <f>probaFail!AH4</f>
        <v>0</v>
      </c>
      <c r="C4">
        <f>probaDropout!AI4</f>
        <v>0</v>
      </c>
      <c r="E4" t="str">
        <f t="shared" si="0"/>
        <v>[1;0;0]</v>
      </c>
      <c r="J4" t="str">
        <f t="shared" ref="J4:J67" si="1">_xlfn.CONCAT(J3,";",E4)</f>
        <v>[0,103448275862069;0;0,896551724137931];[0;0;1];[1;0;0]</v>
      </c>
    </row>
    <row r="5" spans="1:10" x14ac:dyDescent="0.25">
      <c r="A5">
        <f>probaPass!AG5</f>
        <v>1</v>
      </c>
      <c r="B5">
        <f>probaFail!AH5</f>
        <v>0</v>
      </c>
      <c r="C5">
        <f>probaDropout!AI5</f>
        <v>0</v>
      </c>
      <c r="E5" t="str">
        <f t="shared" si="0"/>
        <v>[1;0;0]</v>
      </c>
      <c r="J5" t="str">
        <f t="shared" si="1"/>
        <v>[0,103448275862069;0;0,896551724137931];[0;0;1];[1;0;0];[1;0;0]</v>
      </c>
    </row>
    <row r="6" spans="1:10" x14ac:dyDescent="0.25">
      <c r="A6">
        <f>probaPass!AG6</f>
        <v>0</v>
      </c>
      <c r="B6">
        <f>probaFail!AH6</f>
        <v>0.20689655172413793</v>
      </c>
      <c r="C6">
        <f>probaDropout!AI6</f>
        <v>0.7931034482758621</v>
      </c>
      <c r="E6" t="str">
        <f t="shared" si="0"/>
        <v>[0;0,206896551724138;0,793103448275862]</v>
      </c>
      <c r="J6" t="str">
        <f t="shared" si="1"/>
        <v>[0,103448275862069;0;0,896551724137931];[0;0;1];[1;0;0];[1;0;0];[0;0,206896551724138;0,793103448275862]</v>
      </c>
    </row>
    <row r="7" spans="1:10" x14ac:dyDescent="0.25">
      <c r="A7">
        <f>probaPass!AG7</f>
        <v>0.31034482758620691</v>
      </c>
      <c r="B7">
        <f>probaFail!AH7</f>
        <v>0</v>
      </c>
      <c r="C7">
        <f>probaDropout!AI7</f>
        <v>0.68965517241379315</v>
      </c>
      <c r="E7" t="str">
        <f t="shared" si="0"/>
        <v>[0,310344827586207;0;0,689655172413793]</v>
      </c>
      <c r="J7" t="str">
        <f t="shared" si="1"/>
        <v>[0,103448275862069;0;0,896551724137931];[0;0;1];[1;0;0];[1;0;0];[0;0,206896551724138;0,793103448275862];[0,310344827586207;0;0,689655172413793]</v>
      </c>
    </row>
    <row r="8" spans="1:10" x14ac:dyDescent="0.25">
      <c r="A8">
        <f>probaPass!AG8</f>
        <v>0</v>
      </c>
      <c r="B8">
        <f>probaFail!AH8</f>
        <v>0</v>
      </c>
      <c r="C8">
        <f>probaDropout!AI8</f>
        <v>1</v>
      </c>
      <c r="E8" t="str">
        <f t="shared" si="0"/>
        <v>[0;0;1]</v>
      </c>
      <c r="J8" t="str">
        <f t="shared" si="1"/>
        <v>[0,103448275862069;0;0,896551724137931];[0;0;1];[1;0;0];[1;0;0];[0;0,206896551724138;0,793103448275862];[0,310344827586207;0;0,689655172413793];[0;0;1]</v>
      </c>
    </row>
    <row r="9" spans="1:10" x14ac:dyDescent="0.25">
      <c r="A9">
        <f>probaPass!AG9</f>
        <v>1</v>
      </c>
      <c r="B9">
        <f>probaFail!AH9</f>
        <v>0</v>
      </c>
      <c r="C9">
        <f>probaDropout!AI9</f>
        <v>0</v>
      </c>
      <c r="E9" t="str">
        <f t="shared" si="0"/>
        <v>[1;0;0]</v>
      </c>
      <c r="J9" t="str">
        <f t="shared" si="1"/>
        <v>[0,103448275862069;0;0,896551724137931];[0;0;1];[1;0;0];[1;0;0];[0;0,206896551724138;0,793103448275862];[0,310344827586207;0;0,689655172413793];[0;0;1];[1;0;0]</v>
      </c>
    </row>
    <row r="10" spans="1:10" x14ac:dyDescent="0.25">
      <c r="A10">
        <f>probaPass!AG10</f>
        <v>1</v>
      </c>
      <c r="B10">
        <f>probaFail!AH10</f>
        <v>0</v>
      </c>
      <c r="C10">
        <f>probaDropout!AI10</f>
        <v>0</v>
      </c>
      <c r="E10" t="str">
        <f t="shared" si="0"/>
        <v>[1;0;0]</v>
      </c>
      <c r="J10" t="str">
        <f t="shared" si="1"/>
        <v>[0,103448275862069;0;0,896551724137931];[0;0;1];[1;0;0];[1;0;0];[0;0,206896551724138;0,793103448275862];[0,310344827586207;0;0,689655172413793];[0;0;1];[1;0;0];[1;0;0]</v>
      </c>
    </row>
    <row r="11" spans="1:10" x14ac:dyDescent="0.25">
      <c r="A11">
        <f>probaPass!AG11</f>
        <v>3.4482758620689655E-2</v>
      </c>
      <c r="B11">
        <f>probaFail!AH11</f>
        <v>0</v>
      </c>
      <c r="C11">
        <f>probaDropout!AI11</f>
        <v>0.96551724137931039</v>
      </c>
      <c r="E11" t="str">
        <f t="shared" si="0"/>
        <v>[0,0344827586206897;0;0,96551724137931]</v>
      </c>
      <c r="J11" t="str">
        <f t="shared" si="1"/>
        <v>[0,103448275862069;0;0,896551724137931];[0;0;1];[1;0;0];[1;0;0];[0;0,206896551724138;0,793103448275862];[0,310344827586207;0;0,689655172413793];[0;0;1];[1;0;0];[1;0;0];[0,0344827586206897;0;0,96551724137931]</v>
      </c>
    </row>
    <row r="12" spans="1:10" x14ac:dyDescent="0.25">
      <c r="A12">
        <f>probaPass!AG12</f>
        <v>1</v>
      </c>
      <c r="B12">
        <f>probaFail!AH12</f>
        <v>0</v>
      </c>
      <c r="C12">
        <f>probaDropout!AI12</f>
        <v>0</v>
      </c>
      <c r="E12" t="str">
        <f t="shared" si="0"/>
        <v>[1;0;0]</v>
      </c>
      <c r="J12" t="str">
        <f t="shared" si="1"/>
        <v>[0,103448275862069;0;0,896551724137931];[0;0;1];[1;0;0];[1;0;0];[0;0,206896551724138;0,793103448275862];[0,310344827586207;0;0,689655172413793];[0;0;1];[1;0;0];[1;0;0];[0,0344827586206897;0;0,96551724137931];[1;0;0]</v>
      </c>
    </row>
    <row r="13" spans="1:10" x14ac:dyDescent="0.25">
      <c r="A13">
        <f>probaPass!AG13</f>
        <v>0.72413793103448276</v>
      </c>
      <c r="B13">
        <f>probaFail!AH13</f>
        <v>0</v>
      </c>
      <c r="C13">
        <f>probaDropout!AI13</f>
        <v>0.27586206896551724</v>
      </c>
      <c r="E13" t="str">
        <f t="shared" si="0"/>
        <v>[0,724137931034483;0;0,275862068965517]</v>
      </c>
      <c r="J13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</v>
      </c>
    </row>
    <row r="14" spans="1:10" x14ac:dyDescent="0.25">
      <c r="A14">
        <f>probaPass!AG14</f>
        <v>1</v>
      </c>
      <c r="B14">
        <f>probaFail!AH14</f>
        <v>0</v>
      </c>
      <c r="C14">
        <f>probaDropout!AI14</f>
        <v>0</v>
      </c>
      <c r="E14" t="str">
        <f t="shared" si="0"/>
        <v>[1;0;0]</v>
      </c>
      <c r="J14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</v>
      </c>
    </row>
    <row r="15" spans="1:10" x14ac:dyDescent="0.25">
      <c r="A15">
        <f>probaPass!AG15</f>
        <v>0</v>
      </c>
      <c r="B15">
        <f>probaFail!AH15</f>
        <v>0</v>
      </c>
      <c r="C15">
        <f>probaDropout!AI15</f>
        <v>1</v>
      </c>
      <c r="E15" t="str">
        <f t="shared" si="0"/>
        <v>[0;0;1]</v>
      </c>
      <c r="J15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</v>
      </c>
    </row>
    <row r="16" spans="1:10" x14ac:dyDescent="0.25">
      <c r="A16">
        <f>probaPass!AG16</f>
        <v>1</v>
      </c>
      <c r="B16">
        <f>probaFail!AH16</f>
        <v>0</v>
      </c>
      <c r="C16">
        <f>probaDropout!AI16</f>
        <v>0</v>
      </c>
      <c r="E16" t="str">
        <f t="shared" si="0"/>
        <v>[1;0;0]</v>
      </c>
      <c r="J16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</v>
      </c>
    </row>
    <row r="17" spans="1:10" x14ac:dyDescent="0.25">
      <c r="A17">
        <f>probaPass!AG17</f>
        <v>0.75862068965517238</v>
      </c>
      <c r="B17">
        <f>probaFail!AH17</f>
        <v>0</v>
      </c>
      <c r="C17">
        <f>probaDropout!AI17</f>
        <v>0.2413793103448276</v>
      </c>
      <c r="E17" t="str">
        <f t="shared" si="0"/>
        <v>[0,758620689655172;0;0,241379310344828]</v>
      </c>
      <c r="J17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</v>
      </c>
    </row>
    <row r="18" spans="1:10" x14ac:dyDescent="0.25">
      <c r="A18">
        <f>probaPass!AG18</f>
        <v>0</v>
      </c>
      <c r="B18">
        <f>probaFail!AH18</f>
        <v>0</v>
      </c>
      <c r="C18">
        <f>probaDropout!AI18</f>
        <v>1</v>
      </c>
      <c r="E18" t="str">
        <f t="shared" si="0"/>
        <v>[0;0;1]</v>
      </c>
      <c r="J18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</v>
      </c>
    </row>
    <row r="19" spans="1:10" x14ac:dyDescent="0.25">
      <c r="A19">
        <f>probaPass!AG19</f>
        <v>0.72413793103448276</v>
      </c>
      <c r="B19">
        <f>probaFail!AH19</f>
        <v>0.13793103448275862</v>
      </c>
      <c r="C19">
        <f>probaDropout!AI19</f>
        <v>0.13793103448275862</v>
      </c>
      <c r="E19" t="str">
        <f t="shared" si="0"/>
        <v>[0,724137931034483;0,137931034482759;0,137931034482759]</v>
      </c>
      <c r="J19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</v>
      </c>
    </row>
    <row r="20" spans="1:10" x14ac:dyDescent="0.25">
      <c r="A20">
        <f>probaPass!AG20</f>
        <v>0</v>
      </c>
      <c r="B20">
        <f>probaFail!AH20</f>
        <v>0</v>
      </c>
      <c r="C20">
        <f>probaDropout!AI20</f>
        <v>1</v>
      </c>
      <c r="E20" t="str">
        <f t="shared" si="0"/>
        <v>[0;0;1]</v>
      </c>
      <c r="J20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</v>
      </c>
    </row>
    <row r="21" spans="1:10" x14ac:dyDescent="0.25">
      <c r="A21">
        <f>probaPass!AG21</f>
        <v>1</v>
      </c>
      <c r="B21">
        <f>probaFail!AH21</f>
        <v>0</v>
      </c>
      <c r="C21">
        <f>probaDropout!AI21</f>
        <v>0</v>
      </c>
      <c r="E21" t="str">
        <f t="shared" si="0"/>
        <v>[1;0;0]</v>
      </c>
      <c r="J21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</v>
      </c>
    </row>
    <row r="22" spans="1:10" x14ac:dyDescent="0.25">
      <c r="A22">
        <f>probaPass!AG22</f>
        <v>0</v>
      </c>
      <c r="B22">
        <f>probaFail!AH22</f>
        <v>0</v>
      </c>
      <c r="C22">
        <f>probaDropout!AI22</f>
        <v>1</v>
      </c>
      <c r="E22" t="str">
        <f t="shared" si="0"/>
        <v>[0;0;1]</v>
      </c>
      <c r="J22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</v>
      </c>
    </row>
    <row r="23" spans="1:10" x14ac:dyDescent="0.25">
      <c r="A23">
        <f>probaPass!AG23</f>
        <v>1</v>
      </c>
      <c r="B23">
        <f>probaFail!AH23</f>
        <v>0</v>
      </c>
      <c r="C23">
        <f>probaDropout!AI23</f>
        <v>0</v>
      </c>
      <c r="E23" t="str">
        <f t="shared" si="0"/>
        <v>[1;0;0]</v>
      </c>
      <c r="J23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</v>
      </c>
    </row>
    <row r="24" spans="1:10" x14ac:dyDescent="0.25">
      <c r="A24">
        <f>probaPass!AG24</f>
        <v>0</v>
      </c>
      <c r="B24">
        <f>probaFail!AH24</f>
        <v>0</v>
      </c>
      <c r="C24">
        <f>probaDropout!AI24</f>
        <v>1</v>
      </c>
      <c r="E24" t="str">
        <f t="shared" si="0"/>
        <v>[0;0;1]</v>
      </c>
      <c r="J24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</v>
      </c>
    </row>
    <row r="25" spans="1:10" x14ac:dyDescent="0.25">
      <c r="A25">
        <f>probaPass!AG25</f>
        <v>0</v>
      </c>
      <c r="B25">
        <f>probaFail!AH25</f>
        <v>0</v>
      </c>
      <c r="C25">
        <f>probaDropout!AI25</f>
        <v>1</v>
      </c>
      <c r="E25" t="str">
        <f t="shared" si="0"/>
        <v>[0;0;1]</v>
      </c>
      <c r="J25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</v>
      </c>
    </row>
    <row r="26" spans="1:10" x14ac:dyDescent="0.25">
      <c r="A26">
        <f>probaPass!AG26</f>
        <v>1</v>
      </c>
      <c r="B26">
        <f>probaFail!AH26</f>
        <v>0</v>
      </c>
      <c r="C26">
        <f>probaDropout!AI26</f>
        <v>0</v>
      </c>
      <c r="E26" t="str">
        <f t="shared" si="0"/>
        <v>[1;0;0]</v>
      </c>
      <c r="J26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</v>
      </c>
    </row>
    <row r="27" spans="1:10" x14ac:dyDescent="0.25">
      <c r="A27">
        <f>probaPass!AG27</f>
        <v>1</v>
      </c>
      <c r="B27">
        <f>probaFail!AH27</f>
        <v>0</v>
      </c>
      <c r="C27">
        <f>probaDropout!AI27</f>
        <v>0</v>
      </c>
      <c r="E27" t="str">
        <f t="shared" si="0"/>
        <v>[1;0;0]</v>
      </c>
      <c r="J27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</v>
      </c>
    </row>
    <row r="28" spans="1:10" x14ac:dyDescent="0.25">
      <c r="A28">
        <f>probaPass!AG28</f>
        <v>0.20689655172413793</v>
      </c>
      <c r="B28">
        <f>probaFail!AH28</f>
        <v>0</v>
      </c>
      <c r="C28">
        <f>probaDropout!AI28</f>
        <v>0.7931034482758621</v>
      </c>
      <c r="E28" t="str">
        <f t="shared" si="0"/>
        <v>[0,206896551724138;0;0,793103448275862]</v>
      </c>
      <c r="J28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</v>
      </c>
    </row>
    <row r="29" spans="1:10" x14ac:dyDescent="0.25">
      <c r="A29">
        <f>probaPass!AG29</f>
        <v>0</v>
      </c>
      <c r="B29">
        <f>probaFail!AH29</f>
        <v>0</v>
      </c>
      <c r="C29">
        <f>probaDropout!AI29</f>
        <v>1</v>
      </c>
      <c r="E29" t="str">
        <f t="shared" si="0"/>
        <v>[0;0;1]</v>
      </c>
      <c r="J29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</v>
      </c>
    </row>
    <row r="30" spans="1:10" x14ac:dyDescent="0.25">
      <c r="A30">
        <f>probaPass!AG30</f>
        <v>1</v>
      </c>
      <c r="B30">
        <f>probaFail!AH30</f>
        <v>0</v>
      </c>
      <c r="C30">
        <f>probaDropout!AI30</f>
        <v>0</v>
      </c>
      <c r="E30" t="str">
        <f t="shared" si="0"/>
        <v>[1;0;0]</v>
      </c>
      <c r="J30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</v>
      </c>
    </row>
    <row r="31" spans="1:10" x14ac:dyDescent="0.25">
      <c r="A31">
        <f>probaPass!AG31</f>
        <v>3.4482758620689655E-2</v>
      </c>
      <c r="B31">
        <f>probaFail!AH31</f>
        <v>0.2413793103448276</v>
      </c>
      <c r="C31">
        <f>probaDropout!AI31</f>
        <v>0.72413793103448276</v>
      </c>
      <c r="E31" t="str">
        <f t="shared" si="0"/>
        <v>[0,0344827586206897;0,241379310344828;0,724137931034483]</v>
      </c>
      <c r="J31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</v>
      </c>
    </row>
    <row r="32" spans="1:10" x14ac:dyDescent="0.25">
      <c r="A32">
        <f>probaPass!AG32</f>
        <v>0</v>
      </c>
      <c r="B32">
        <f>probaFail!AH32</f>
        <v>0</v>
      </c>
      <c r="C32">
        <f>probaDropout!AI32</f>
        <v>1</v>
      </c>
      <c r="E32" t="str">
        <f t="shared" si="0"/>
        <v>[0;0;1]</v>
      </c>
      <c r="J32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</v>
      </c>
    </row>
    <row r="33" spans="1:10" x14ac:dyDescent="0.25">
      <c r="A33">
        <f>probaPass!AG33</f>
        <v>1</v>
      </c>
      <c r="B33">
        <f>probaFail!AH33</f>
        <v>0</v>
      </c>
      <c r="C33">
        <f>probaDropout!AI33</f>
        <v>0</v>
      </c>
      <c r="E33" t="str">
        <f t="shared" si="0"/>
        <v>[1;0;0]</v>
      </c>
      <c r="J33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</v>
      </c>
    </row>
    <row r="34" spans="1:10" x14ac:dyDescent="0.25">
      <c r="A34">
        <f>probaPass!AG34</f>
        <v>0</v>
      </c>
      <c r="B34">
        <f>probaFail!AH34</f>
        <v>0</v>
      </c>
      <c r="C34">
        <f>probaDropout!AI34</f>
        <v>1</v>
      </c>
      <c r="E34" t="str">
        <f t="shared" si="0"/>
        <v>[0;0;1]</v>
      </c>
      <c r="J34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</v>
      </c>
    </row>
    <row r="35" spans="1:10" x14ac:dyDescent="0.25">
      <c r="A35">
        <f>probaPass!AG35</f>
        <v>0</v>
      </c>
      <c r="B35">
        <f>probaFail!AH35</f>
        <v>0</v>
      </c>
      <c r="C35">
        <f>probaDropout!AI35</f>
        <v>1</v>
      </c>
      <c r="E35" t="str">
        <f t="shared" si="0"/>
        <v>[0;0;1]</v>
      </c>
      <c r="J35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</v>
      </c>
    </row>
    <row r="36" spans="1:10" x14ac:dyDescent="0.25">
      <c r="A36">
        <f>probaPass!AG36</f>
        <v>1</v>
      </c>
      <c r="B36">
        <f>probaFail!AH36</f>
        <v>0</v>
      </c>
      <c r="C36">
        <f>probaDropout!AI36</f>
        <v>0</v>
      </c>
      <c r="E36" t="str">
        <f t="shared" si="0"/>
        <v>[1;0;0]</v>
      </c>
      <c r="J36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</v>
      </c>
    </row>
    <row r="37" spans="1:10" x14ac:dyDescent="0.25">
      <c r="A37">
        <f>probaPass!AG37</f>
        <v>1</v>
      </c>
      <c r="B37">
        <f>probaFail!AH37</f>
        <v>0</v>
      </c>
      <c r="C37">
        <f>probaDropout!AI37</f>
        <v>0</v>
      </c>
      <c r="E37" t="str">
        <f t="shared" si="0"/>
        <v>[1;0;0]</v>
      </c>
      <c r="J37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</v>
      </c>
    </row>
    <row r="38" spans="1:10" x14ac:dyDescent="0.25">
      <c r="A38">
        <f>probaPass!AG38</f>
        <v>0</v>
      </c>
      <c r="B38">
        <f>probaFail!AH38</f>
        <v>0</v>
      </c>
      <c r="C38">
        <f>probaDropout!AI38</f>
        <v>1</v>
      </c>
      <c r="E38" t="str">
        <f t="shared" si="0"/>
        <v>[0;0;1]</v>
      </c>
      <c r="J38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</v>
      </c>
    </row>
    <row r="39" spans="1:10" x14ac:dyDescent="0.25">
      <c r="A39">
        <f>probaPass!AG39</f>
        <v>0.44827586206896552</v>
      </c>
      <c r="B39">
        <f>probaFail!AH39</f>
        <v>0</v>
      </c>
      <c r="C39">
        <f>probaDropout!AI39</f>
        <v>0.55172413793103448</v>
      </c>
      <c r="E39" t="str">
        <f t="shared" si="0"/>
        <v>[0,448275862068966;0;0,551724137931034]</v>
      </c>
      <c r="J39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</v>
      </c>
    </row>
    <row r="40" spans="1:10" x14ac:dyDescent="0.25">
      <c r="A40">
        <f>probaPass!AG40</f>
        <v>1</v>
      </c>
      <c r="B40">
        <f>probaFail!AH40</f>
        <v>0</v>
      </c>
      <c r="C40">
        <f>probaDropout!AI40</f>
        <v>0</v>
      </c>
      <c r="E40" t="str">
        <f t="shared" si="0"/>
        <v>[1;0;0]</v>
      </c>
      <c r="J40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</v>
      </c>
    </row>
    <row r="41" spans="1:10" x14ac:dyDescent="0.25">
      <c r="A41">
        <f>probaPass!AG41</f>
        <v>0</v>
      </c>
      <c r="B41">
        <f>probaFail!AH41</f>
        <v>0</v>
      </c>
      <c r="C41">
        <f>probaDropout!AI41</f>
        <v>1</v>
      </c>
      <c r="E41" t="str">
        <f t="shared" si="0"/>
        <v>[0;0;1]</v>
      </c>
      <c r="J41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</v>
      </c>
    </row>
    <row r="42" spans="1:10" x14ac:dyDescent="0.25">
      <c r="A42">
        <f>probaPass!AG42</f>
        <v>1</v>
      </c>
      <c r="B42">
        <f>probaFail!AH42</f>
        <v>0</v>
      </c>
      <c r="C42">
        <f>probaDropout!AI42</f>
        <v>0</v>
      </c>
      <c r="E42" t="str">
        <f t="shared" si="0"/>
        <v>[1;0;0]</v>
      </c>
      <c r="J42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</v>
      </c>
    </row>
    <row r="43" spans="1:10" x14ac:dyDescent="0.25">
      <c r="A43">
        <f>probaPass!AG43</f>
        <v>0</v>
      </c>
      <c r="B43">
        <f>probaFail!AH43</f>
        <v>0</v>
      </c>
      <c r="C43">
        <f>probaDropout!AI43</f>
        <v>1</v>
      </c>
      <c r="E43" t="str">
        <f t="shared" si="0"/>
        <v>[0;0;1]</v>
      </c>
      <c r="J43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</v>
      </c>
    </row>
    <row r="44" spans="1:10" x14ac:dyDescent="0.25">
      <c r="A44">
        <f>probaPass!AG44</f>
        <v>1</v>
      </c>
      <c r="B44">
        <f>probaFail!AH44</f>
        <v>0</v>
      </c>
      <c r="C44">
        <f>probaDropout!AI44</f>
        <v>0</v>
      </c>
      <c r="E44" t="str">
        <f t="shared" si="0"/>
        <v>[1;0;0]</v>
      </c>
      <c r="J44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</v>
      </c>
    </row>
    <row r="45" spans="1:10" x14ac:dyDescent="0.25">
      <c r="A45">
        <f>probaPass!AG45</f>
        <v>1</v>
      </c>
      <c r="B45">
        <f>probaFail!AH45</f>
        <v>0</v>
      </c>
      <c r="C45">
        <f>probaDropout!AI45</f>
        <v>0</v>
      </c>
      <c r="E45" t="str">
        <f t="shared" si="0"/>
        <v>[1;0;0]</v>
      </c>
      <c r="J45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</v>
      </c>
    </row>
    <row r="46" spans="1:10" x14ac:dyDescent="0.25">
      <c r="A46">
        <f>probaPass!AG46</f>
        <v>0.96551724137931039</v>
      </c>
      <c r="B46">
        <f>probaFail!AH46</f>
        <v>3.4482758620689655E-2</v>
      </c>
      <c r="C46">
        <f>probaDropout!AI46</f>
        <v>0</v>
      </c>
      <c r="E46" t="str">
        <f t="shared" si="0"/>
        <v>[0,96551724137931;0,0344827586206897;0]</v>
      </c>
      <c r="J46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</v>
      </c>
    </row>
    <row r="47" spans="1:10" x14ac:dyDescent="0.25">
      <c r="A47">
        <f>probaPass!AG47</f>
        <v>0.31034482758620691</v>
      </c>
      <c r="B47">
        <f>probaFail!AH47</f>
        <v>0</v>
      </c>
      <c r="C47">
        <f>probaDropout!AI47</f>
        <v>0.68965517241379315</v>
      </c>
      <c r="E47" t="str">
        <f t="shared" si="0"/>
        <v>[0,310344827586207;0;0,689655172413793]</v>
      </c>
      <c r="J47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</v>
      </c>
    </row>
    <row r="48" spans="1:10" x14ac:dyDescent="0.25">
      <c r="A48">
        <f>probaPass!AG48</f>
        <v>0</v>
      </c>
      <c r="B48">
        <f>probaFail!AH48</f>
        <v>0</v>
      </c>
      <c r="C48">
        <f>probaDropout!AI48</f>
        <v>1</v>
      </c>
      <c r="E48" t="str">
        <f t="shared" si="0"/>
        <v>[0;0;1]</v>
      </c>
      <c r="J48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</v>
      </c>
    </row>
    <row r="49" spans="1:10" x14ac:dyDescent="0.25">
      <c r="A49">
        <f>probaPass!AG49</f>
        <v>0.82758620689655171</v>
      </c>
      <c r="B49">
        <f>probaFail!AH49</f>
        <v>0</v>
      </c>
      <c r="C49">
        <f>probaDropout!AI49</f>
        <v>0.17241379310344829</v>
      </c>
      <c r="E49" t="str">
        <f t="shared" si="0"/>
        <v>[0,827586206896552;0;0,172413793103448]</v>
      </c>
      <c r="J49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</v>
      </c>
    </row>
    <row r="50" spans="1:10" x14ac:dyDescent="0.25">
      <c r="A50">
        <f>probaPass!AG50</f>
        <v>0</v>
      </c>
      <c r="B50">
        <f>probaFail!AH50</f>
        <v>0</v>
      </c>
      <c r="C50">
        <f>probaDropout!AI50</f>
        <v>1</v>
      </c>
      <c r="E50" t="str">
        <f t="shared" si="0"/>
        <v>[0;0;1]</v>
      </c>
      <c r="J50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</v>
      </c>
    </row>
    <row r="51" spans="1:10" x14ac:dyDescent="0.25">
      <c r="A51">
        <f>probaPass!AG51</f>
        <v>1</v>
      </c>
      <c r="B51">
        <f>probaFail!AH51</f>
        <v>0</v>
      </c>
      <c r="C51">
        <f>probaDropout!AI51</f>
        <v>0</v>
      </c>
      <c r="E51" t="str">
        <f t="shared" si="0"/>
        <v>[1;0;0]</v>
      </c>
      <c r="J51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</v>
      </c>
    </row>
    <row r="52" spans="1:10" x14ac:dyDescent="0.25">
      <c r="A52">
        <f>probaPass!AG52</f>
        <v>0</v>
      </c>
      <c r="B52">
        <f>probaFail!AH52</f>
        <v>0</v>
      </c>
      <c r="C52">
        <f>probaDropout!AI52</f>
        <v>1</v>
      </c>
      <c r="E52" t="str">
        <f t="shared" si="0"/>
        <v>[0;0;1]</v>
      </c>
      <c r="J52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</v>
      </c>
    </row>
    <row r="53" spans="1:10" x14ac:dyDescent="0.25">
      <c r="A53">
        <f>probaPass!AG53</f>
        <v>0</v>
      </c>
      <c r="B53">
        <f>probaFail!AH53</f>
        <v>0</v>
      </c>
      <c r="C53">
        <f>probaDropout!AI53</f>
        <v>1</v>
      </c>
      <c r="E53" t="str">
        <f t="shared" si="0"/>
        <v>[0;0;1]</v>
      </c>
      <c r="J53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</v>
      </c>
    </row>
    <row r="54" spans="1:10" x14ac:dyDescent="0.25">
      <c r="A54">
        <f>probaPass!AG54</f>
        <v>1</v>
      </c>
      <c r="B54">
        <f>probaFail!AH54</f>
        <v>0</v>
      </c>
      <c r="C54">
        <f>probaDropout!AI54</f>
        <v>0</v>
      </c>
      <c r="E54" t="str">
        <f t="shared" si="0"/>
        <v>[1;0;0]</v>
      </c>
      <c r="J54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</v>
      </c>
    </row>
    <row r="55" spans="1:10" x14ac:dyDescent="0.25">
      <c r="A55">
        <f>probaPass!AG55</f>
        <v>0</v>
      </c>
      <c r="B55">
        <f>probaFail!AH55</f>
        <v>0</v>
      </c>
      <c r="C55">
        <f>probaDropout!AI55</f>
        <v>1</v>
      </c>
      <c r="E55" t="str">
        <f t="shared" si="0"/>
        <v>[0;0;1]</v>
      </c>
      <c r="J55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</v>
      </c>
    </row>
    <row r="56" spans="1:10" x14ac:dyDescent="0.25">
      <c r="A56">
        <f>probaPass!AG56</f>
        <v>0</v>
      </c>
      <c r="B56">
        <f>probaFail!AH56</f>
        <v>0</v>
      </c>
      <c r="C56">
        <f>probaDropout!AI56</f>
        <v>1</v>
      </c>
      <c r="E56" t="str">
        <f t="shared" si="0"/>
        <v>[0;0;1]</v>
      </c>
      <c r="J56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</v>
      </c>
    </row>
    <row r="57" spans="1:10" x14ac:dyDescent="0.25">
      <c r="A57">
        <f>probaPass!AG57</f>
        <v>1</v>
      </c>
      <c r="B57">
        <f>probaFail!AH57</f>
        <v>0</v>
      </c>
      <c r="C57">
        <f>probaDropout!AI57</f>
        <v>0</v>
      </c>
      <c r="E57" t="str">
        <f t="shared" si="0"/>
        <v>[1;0;0]</v>
      </c>
      <c r="J57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</v>
      </c>
    </row>
    <row r="58" spans="1:10" x14ac:dyDescent="0.25">
      <c r="A58">
        <f>probaPass!AG58</f>
        <v>0.72413793103448276</v>
      </c>
      <c r="B58">
        <f>probaFail!AH58</f>
        <v>0</v>
      </c>
      <c r="C58">
        <f>probaDropout!AI58</f>
        <v>0.27586206896551724</v>
      </c>
      <c r="E58" t="str">
        <f t="shared" si="0"/>
        <v>[0,724137931034483;0;0,275862068965517]</v>
      </c>
      <c r="J58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</v>
      </c>
    </row>
    <row r="59" spans="1:10" x14ac:dyDescent="0.25">
      <c r="A59">
        <f>probaPass!AG59</f>
        <v>1</v>
      </c>
      <c r="B59">
        <f>probaFail!AH59</f>
        <v>0</v>
      </c>
      <c r="C59">
        <f>probaDropout!AI59</f>
        <v>0</v>
      </c>
      <c r="E59" t="str">
        <f t="shared" si="0"/>
        <v>[1;0;0]</v>
      </c>
      <c r="J59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</v>
      </c>
    </row>
    <row r="60" spans="1:10" x14ac:dyDescent="0.25">
      <c r="A60">
        <f>probaPass!AG60</f>
        <v>0</v>
      </c>
      <c r="B60">
        <f>probaFail!AH60</f>
        <v>0</v>
      </c>
      <c r="C60">
        <f>probaDropout!AI60</f>
        <v>1</v>
      </c>
      <c r="E60" t="str">
        <f t="shared" si="0"/>
        <v>[0;0;1]</v>
      </c>
      <c r="J60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</v>
      </c>
    </row>
    <row r="61" spans="1:10" x14ac:dyDescent="0.25">
      <c r="A61">
        <f>probaPass!AG61</f>
        <v>1</v>
      </c>
      <c r="B61">
        <f>probaFail!AH61</f>
        <v>0</v>
      </c>
      <c r="C61">
        <f>probaDropout!AI61</f>
        <v>0</v>
      </c>
      <c r="E61" t="str">
        <f t="shared" si="0"/>
        <v>[1;0;0]</v>
      </c>
      <c r="J61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</v>
      </c>
    </row>
    <row r="62" spans="1:10" x14ac:dyDescent="0.25">
      <c r="A62">
        <f>probaPass!AG62</f>
        <v>3.4482758620689655E-2</v>
      </c>
      <c r="B62">
        <f>probaFail!AH62</f>
        <v>0</v>
      </c>
      <c r="C62">
        <f>probaDropout!AI62</f>
        <v>0.96551724137931039</v>
      </c>
      <c r="E62" t="str">
        <f t="shared" si="0"/>
        <v>[0,0344827586206897;0;0,96551724137931]</v>
      </c>
      <c r="J62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</v>
      </c>
    </row>
    <row r="63" spans="1:10" x14ac:dyDescent="0.25">
      <c r="A63">
        <f>probaPass!AG63</f>
        <v>0.72413793103448276</v>
      </c>
      <c r="B63">
        <f>probaFail!AH63</f>
        <v>0</v>
      </c>
      <c r="C63">
        <f>probaDropout!AI63</f>
        <v>0.27586206896551724</v>
      </c>
      <c r="E63" t="str">
        <f t="shared" si="0"/>
        <v>[0,724137931034483;0;0,275862068965517]</v>
      </c>
      <c r="J63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</v>
      </c>
    </row>
    <row r="64" spans="1:10" x14ac:dyDescent="0.25">
      <c r="A64">
        <f>probaPass!AG64</f>
        <v>3.4482758620689655E-2</v>
      </c>
      <c r="B64">
        <f>probaFail!AH64</f>
        <v>6.8965517241379309E-2</v>
      </c>
      <c r="C64">
        <f>probaDropout!AI64</f>
        <v>0.89655172413793105</v>
      </c>
      <c r="E64" t="str">
        <f t="shared" si="0"/>
        <v>[0,0344827586206897;0,0689655172413793;0,896551724137931]</v>
      </c>
      <c r="J64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</v>
      </c>
    </row>
    <row r="65" spans="1:10" x14ac:dyDescent="0.25">
      <c r="A65">
        <f>probaPass!AG65</f>
        <v>0</v>
      </c>
      <c r="B65">
        <f>probaFail!AH65</f>
        <v>0</v>
      </c>
      <c r="C65">
        <f>probaDropout!AI65</f>
        <v>1</v>
      </c>
      <c r="E65" t="str">
        <f t="shared" si="0"/>
        <v>[0;0;1]</v>
      </c>
      <c r="J65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</v>
      </c>
    </row>
    <row r="66" spans="1:10" x14ac:dyDescent="0.25">
      <c r="A66">
        <f>probaPass!AG66</f>
        <v>1</v>
      </c>
      <c r="B66">
        <f>probaFail!AH66</f>
        <v>0</v>
      </c>
      <c r="C66">
        <f>probaDropout!AI66</f>
        <v>0</v>
      </c>
      <c r="E66" t="str">
        <f t="shared" si="0"/>
        <v>[1;0;0]</v>
      </c>
      <c r="J66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</v>
      </c>
    </row>
    <row r="67" spans="1:10" x14ac:dyDescent="0.25">
      <c r="A67">
        <f>probaPass!AG67</f>
        <v>1</v>
      </c>
      <c r="B67">
        <f>probaFail!AH67</f>
        <v>0</v>
      </c>
      <c r="C67">
        <f>probaDropout!AI67</f>
        <v>0</v>
      </c>
      <c r="E67" t="str">
        <f t="shared" ref="E67:E130" si="2">_xlfn.CONCAT("[",A67,";",B67,";",C67,"]")</f>
        <v>[1;0;0]</v>
      </c>
      <c r="J67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</v>
      </c>
    </row>
    <row r="68" spans="1:10" x14ac:dyDescent="0.25">
      <c r="A68">
        <f>probaPass!AG68</f>
        <v>1</v>
      </c>
      <c r="B68">
        <f>probaFail!AH68</f>
        <v>0</v>
      </c>
      <c r="C68">
        <f>probaDropout!AI68</f>
        <v>0</v>
      </c>
      <c r="E68" t="str">
        <f t="shared" si="2"/>
        <v>[1;0;0]</v>
      </c>
      <c r="J68" t="str">
        <f t="shared" ref="J68:J131" si="3">_xlfn.CONCAT(J67,";",E68)</f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</v>
      </c>
    </row>
    <row r="69" spans="1:10" x14ac:dyDescent="0.25">
      <c r="A69">
        <f>probaPass!AG69</f>
        <v>0</v>
      </c>
      <c r="B69">
        <f>probaFail!AH69</f>
        <v>0</v>
      </c>
      <c r="C69">
        <f>probaDropout!AI69</f>
        <v>1</v>
      </c>
      <c r="E69" t="str">
        <f t="shared" si="2"/>
        <v>[0;0;1]</v>
      </c>
      <c r="J69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</v>
      </c>
    </row>
    <row r="70" spans="1:10" x14ac:dyDescent="0.25">
      <c r="A70">
        <f>probaPass!AG70</f>
        <v>0</v>
      </c>
      <c r="B70">
        <f>probaFail!AH70</f>
        <v>0</v>
      </c>
      <c r="C70">
        <f>probaDropout!AI70</f>
        <v>1</v>
      </c>
      <c r="E70" t="str">
        <f t="shared" si="2"/>
        <v>[0;0;1]</v>
      </c>
      <c r="J70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</v>
      </c>
    </row>
    <row r="71" spans="1:10" x14ac:dyDescent="0.25">
      <c r="A71">
        <f>probaPass!AG71</f>
        <v>0.48275862068965519</v>
      </c>
      <c r="B71">
        <f>probaFail!AH71</f>
        <v>0</v>
      </c>
      <c r="C71">
        <f>probaDropout!AI71</f>
        <v>0.51724137931034486</v>
      </c>
      <c r="E71" t="str">
        <f t="shared" si="2"/>
        <v>[0,482758620689655;0;0,517241379310345]</v>
      </c>
      <c r="J71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</v>
      </c>
    </row>
    <row r="72" spans="1:10" x14ac:dyDescent="0.25">
      <c r="A72">
        <f>probaPass!AG72</f>
        <v>1</v>
      </c>
      <c r="B72">
        <f>probaFail!AH72</f>
        <v>0</v>
      </c>
      <c r="C72">
        <f>probaDropout!AI72</f>
        <v>0</v>
      </c>
      <c r="E72" t="str">
        <f t="shared" si="2"/>
        <v>[1;0;0]</v>
      </c>
      <c r="J72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</v>
      </c>
    </row>
    <row r="73" spans="1:10" x14ac:dyDescent="0.25">
      <c r="A73">
        <f>probaPass!AG73</f>
        <v>0</v>
      </c>
      <c r="B73">
        <f>probaFail!AH73</f>
        <v>0</v>
      </c>
      <c r="C73">
        <f>probaDropout!AI73</f>
        <v>1</v>
      </c>
      <c r="E73" t="str">
        <f t="shared" si="2"/>
        <v>[0;0;1]</v>
      </c>
      <c r="J73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</v>
      </c>
    </row>
    <row r="74" spans="1:10" x14ac:dyDescent="0.25">
      <c r="A74">
        <f>probaPass!AG74</f>
        <v>1</v>
      </c>
      <c r="B74">
        <f>probaFail!AH74</f>
        <v>0</v>
      </c>
      <c r="C74">
        <f>probaDropout!AI74</f>
        <v>0</v>
      </c>
      <c r="E74" t="str">
        <f t="shared" si="2"/>
        <v>[1;0;0]</v>
      </c>
      <c r="J74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</v>
      </c>
    </row>
    <row r="75" spans="1:10" x14ac:dyDescent="0.25">
      <c r="A75">
        <f>probaPass!AG75</f>
        <v>0</v>
      </c>
      <c r="B75">
        <f>probaFail!AH75</f>
        <v>0</v>
      </c>
      <c r="C75">
        <f>probaDropout!AI75</f>
        <v>1</v>
      </c>
      <c r="E75" t="str">
        <f t="shared" si="2"/>
        <v>[0;0;1]</v>
      </c>
      <c r="J75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</v>
      </c>
    </row>
    <row r="76" spans="1:10" x14ac:dyDescent="0.25">
      <c r="A76">
        <f>probaPass!AG76</f>
        <v>0</v>
      </c>
      <c r="B76">
        <f>probaFail!AH76</f>
        <v>0</v>
      </c>
      <c r="C76">
        <f>probaDropout!AI76</f>
        <v>1</v>
      </c>
      <c r="E76" t="str">
        <f t="shared" si="2"/>
        <v>[0;0;1]</v>
      </c>
      <c r="J76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</v>
      </c>
    </row>
    <row r="77" spans="1:10" x14ac:dyDescent="0.25">
      <c r="A77">
        <f>probaPass!AG77</f>
        <v>1</v>
      </c>
      <c r="B77">
        <f>probaFail!AH77</f>
        <v>0</v>
      </c>
      <c r="C77">
        <f>probaDropout!AI77</f>
        <v>0</v>
      </c>
      <c r="E77" t="str">
        <f t="shared" si="2"/>
        <v>[1;0;0]</v>
      </c>
      <c r="J77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</v>
      </c>
    </row>
    <row r="78" spans="1:10" x14ac:dyDescent="0.25">
      <c r="A78">
        <f>probaPass!AG78</f>
        <v>1</v>
      </c>
      <c r="B78">
        <f>probaFail!AH78</f>
        <v>0</v>
      </c>
      <c r="C78">
        <f>probaDropout!AI78</f>
        <v>0</v>
      </c>
      <c r="E78" t="str">
        <f t="shared" si="2"/>
        <v>[1;0;0]</v>
      </c>
      <c r="J78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</v>
      </c>
    </row>
    <row r="79" spans="1:10" x14ac:dyDescent="0.25">
      <c r="A79">
        <f>probaPass!AG79</f>
        <v>0</v>
      </c>
      <c r="B79">
        <f>probaFail!AH79</f>
        <v>0</v>
      </c>
      <c r="C79">
        <f>probaDropout!AI79</f>
        <v>1</v>
      </c>
      <c r="E79" t="str">
        <f t="shared" si="2"/>
        <v>[0;0;1]</v>
      </c>
      <c r="J79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</v>
      </c>
    </row>
    <row r="80" spans="1:10" x14ac:dyDescent="0.25">
      <c r="A80">
        <f>probaPass!AG80</f>
        <v>1</v>
      </c>
      <c r="B80">
        <f>probaFail!AH80</f>
        <v>0</v>
      </c>
      <c r="C80">
        <f>probaDropout!AI80</f>
        <v>0</v>
      </c>
      <c r="E80" t="str">
        <f t="shared" si="2"/>
        <v>[1;0;0]</v>
      </c>
      <c r="J80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</v>
      </c>
    </row>
    <row r="81" spans="1:10" x14ac:dyDescent="0.25">
      <c r="A81">
        <f>probaPass!AG81</f>
        <v>1</v>
      </c>
      <c r="B81">
        <f>probaFail!AH81</f>
        <v>0</v>
      </c>
      <c r="C81">
        <f>probaDropout!AI81</f>
        <v>0</v>
      </c>
      <c r="E81" t="str">
        <f t="shared" si="2"/>
        <v>[1;0;0]</v>
      </c>
      <c r="J81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</v>
      </c>
    </row>
    <row r="82" spans="1:10" x14ac:dyDescent="0.25">
      <c r="A82">
        <f>probaPass!AG82</f>
        <v>0</v>
      </c>
      <c r="B82">
        <f>probaFail!AH82</f>
        <v>0</v>
      </c>
      <c r="C82">
        <f>probaDropout!AI82</f>
        <v>1</v>
      </c>
      <c r="E82" t="str">
        <f t="shared" si="2"/>
        <v>[0;0;1]</v>
      </c>
      <c r="J82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</v>
      </c>
    </row>
    <row r="83" spans="1:10" x14ac:dyDescent="0.25">
      <c r="A83">
        <f>probaPass!AG83</f>
        <v>1</v>
      </c>
      <c r="B83">
        <f>probaFail!AH83</f>
        <v>0</v>
      </c>
      <c r="C83">
        <f>probaDropout!AI83</f>
        <v>0</v>
      </c>
      <c r="E83" t="str">
        <f t="shared" si="2"/>
        <v>[1;0;0]</v>
      </c>
      <c r="J83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</v>
      </c>
    </row>
    <row r="84" spans="1:10" x14ac:dyDescent="0.25">
      <c r="A84">
        <f>probaPass!AG84</f>
        <v>1</v>
      </c>
      <c r="B84">
        <f>probaFail!AH84</f>
        <v>0</v>
      </c>
      <c r="C84">
        <f>probaDropout!AI84</f>
        <v>0</v>
      </c>
      <c r="E84" t="str">
        <f t="shared" si="2"/>
        <v>[1;0;0]</v>
      </c>
      <c r="J84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</v>
      </c>
    </row>
    <row r="85" spans="1:10" x14ac:dyDescent="0.25">
      <c r="A85">
        <f>probaPass!AG85</f>
        <v>0</v>
      </c>
      <c r="B85">
        <f>probaFail!AH85</f>
        <v>0</v>
      </c>
      <c r="C85">
        <f>probaDropout!AI85</f>
        <v>1</v>
      </c>
      <c r="E85" t="str">
        <f t="shared" si="2"/>
        <v>[0;0;1]</v>
      </c>
      <c r="J85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</v>
      </c>
    </row>
    <row r="86" spans="1:10" x14ac:dyDescent="0.25">
      <c r="A86">
        <f>probaPass!AG86</f>
        <v>1</v>
      </c>
      <c r="B86">
        <f>probaFail!AH86</f>
        <v>0</v>
      </c>
      <c r="C86">
        <f>probaDropout!AI86</f>
        <v>0</v>
      </c>
      <c r="E86" t="str">
        <f t="shared" si="2"/>
        <v>[1;0;0]</v>
      </c>
      <c r="J86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</v>
      </c>
    </row>
    <row r="87" spans="1:10" x14ac:dyDescent="0.25">
      <c r="A87">
        <f>probaPass!AG87</f>
        <v>0</v>
      </c>
      <c r="B87">
        <f>probaFail!AH87</f>
        <v>0</v>
      </c>
      <c r="C87">
        <f>probaDropout!AI87</f>
        <v>1</v>
      </c>
      <c r="E87" t="str">
        <f t="shared" si="2"/>
        <v>[0;0;1]</v>
      </c>
      <c r="J87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</v>
      </c>
    </row>
    <row r="88" spans="1:10" x14ac:dyDescent="0.25">
      <c r="A88">
        <f>probaPass!AG88</f>
        <v>1</v>
      </c>
      <c r="B88">
        <f>probaFail!AH88</f>
        <v>0</v>
      </c>
      <c r="C88">
        <f>probaDropout!AI88</f>
        <v>0</v>
      </c>
      <c r="E88" t="str">
        <f t="shared" si="2"/>
        <v>[1;0;0]</v>
      </c>
      <c r="J88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</v>
      </c>
    </row>
    <row r="89" spans="1:10" x14ac:dyDescent="0.25">
      <c r="A89">
        <f>probaPass!AG89</f>
        <v>0</v>
      </c>
      <c r="B89">
        <f>probaFail!AH89</f>
        <v>0</v>
      </c>
      <c r="C89">
        <f>probaDropout!AI89</f>
        <v>1</v>
      </c>
      <c r="E89" t="str">
        <f t="shared" si="2"/>
        <v>[0;0;1]</v>
      </c>
      <c r="J89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</v>
      </c>
    </row>
    <row r="90" spans="1:10" x14ac:dyDescent="0.25">
      <c r="A90">
        <f>probaPass!AG90</f>
        <v>1</v>
      </c>
      <c r="B90">
        <f>probaFail!AH90</f>
        <v>0</v>
      </c>
      <c r="C90">
        <f>probaDropout!AI90</f>
        <v>0</v>
      </c>
      <c r="E90" t="str">
        <f t="shared" si="2"/>
        <v>[1;0;0]</v>
      </c>
      <c r="J90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</v>
      </c>
    </row>
    <row r="91" spans="1:10" x14ac:dyDescent="0.25">
      <c r="A91">
        <f>probaPass!AG91</f>
        <v>1</v>
      </c>
      <c r="B91">
        <f>probaFail!AH91</f>
        <v>0</v>
      </c>
      <c r="C91">
        <f>probaDropout!AI91</f>
        <v>0</v>
      </c>
      <c r="E91" t="str">
        <f t="shared" si="2"/>
        <v>[1;0;0]</v>
      </c>
      <c r="J91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</v>
      </c>
    </row>
    <row r="92" spans="1:10" x14ac:dyDescent="0.25">
      <c r="A92">
        <f>probaPass!AG92</f>
        <v>1</v>
      </c>
      <c r="B92">
        <f>probaFail!AH92</f>
        <v>0</v>
      </c>
      <c r="C92">
        <f>probaDropout!AI92</f>
        <v>0</v>
      </c>
      <c r="E92" t="str">
        <f t="shared" si="2"/>
        <v>[1;0;0]</v>
      </c>
      <c r="J92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</v>
      </c>
    </row>
    <row r="93" spans="1:10" x14ac:dyDescent="0.25">
      <c r="A93">
        <f>probaPass!AG93</f>
        <v>6.8965517241379309E-2</v>
      </c>
      <c r="B93">
        <f>probaFail!AH93</f>
        <v>0.48275862068965519</v>
      </c>
      <c r="C93">
        <f>probaDropout!AI93</f>
        <v>0.44827586206896552</v>
      </c>
      <c r="E93" t="str">
        <f t="shared" si="2"/>
        <v>[0,0689655172413793;0,482758620689655;0,448275862068966]</v>
      </c>
      <c r="J93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</v>
      </c>
    </row>
    <row r="94" spans="1:10" x14ac:dyDescent="0.25">
      <c r="A94">
        <f>probaPass!AG94</f>
        <v>0</v>
      </c>
      <c r="B94">
        <f>probaFail!AH94</f>
        <v>0</v>
      </c>
      <c r="C94">
        <f>probaDropout!AI94</f>
        <v>1</v>
      </c>
      <c r="E94" t="str">
        <f t="shared" si="2"/>
        <v>[0;0;1]</v>
      </c>
      <c r="J94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</v>
      </c>
    </row>
    <row r="95" spans="1:10" x14ac:dyDescent="0.25">
      <c r="A95">
        <f>probaPass!AG95</f>
        <v>1</v>
      </c>
      <c r="B95">
        <f>probaFail!AH95</f>
        <v>0</v>
      </c>
      <c r="C95">
        <f>probaDropout!AI95</f>
        <v>0</v>
      </c>
      <c r="E95" t="str">
        <f t="shared" si="2"/>
        <v>[1;0;0]</v>
      </c>
      <c r="J95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</v>
      </c>
    </row>
    <row r="96" spans="1:10" x14ac:dyDescent="0.25">
      <c r="A96">
        <f>probaPass!AG96</f>
        <v>0</v>
      </c>
      <c r="B96">
        <f>probaFail!AH96</f>
        <v>0</v>
      </c>
      <c r="C96">
        <f>probaDropout!AI96</f>
        <v>1</v>
      </c>
      <c r="E96" t="str">
        <f t="shared" si="2"/>
        <v>[0;0;1]</v>
      </c>
      <c r="J96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</v>
      </c>
    </row>
    <row r="97" spans="1:10" x14ac:dyDescent="0.25">
      <c r="A97">
        <f>probaPass!AG97</f>
        <v>0.7931034482758621</v>
      </c>
      <c r="B97">
        <f>probaFail!AH97</f>
        <v>0</v>
      </c>
      <c r="C97">
        <f>probaDropout!AI97</f>
        <v>0.20689655172413793</v>
      </c>
      <c r="E97" t="str">
        <f t="shared" si="2"/>
        <v>[0,793103448275862;0;0,206896551724138]</v>
      </c>
      <c r="J97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</v>
      </c>
    </row>
    <row r="98" spans="1:10" x14ac:dyDescent="0.25">
      <c r="A98">
        <f>probaPass!AG98</f>
        <v>0</v>
      </c>
      <c r="B98">
        <f>probaFail!AH98</f>
        <v>0</v>
      </c>
      <c r="C98">
        <f>probaDropout!AI98</f>
        <v>1</v>
      </c>
      <c r="E98" t="str">
        <f t="shared" si="2"/>
        <v>[0;0;1]</v>
      </c>
      <c r="J98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</v>
      </c>
    </row>
    <row r="99" spans="1:10" x14ac:dyDescent="0.25">
      <c r="A99">
        <f>probaPass!AG99</f>
        <v>1</v>
      </c>
      <c r="B99">
        <f>probaFail!AH99</f>
        <v>0</v>
      </c>
      <c r="C99">
        <f>probaDropout!AI99</f>
        <v>0</v>
      </c>
      <c r="E99" t="str">
        <f t="shared" si="2"/>
        <v>[1;0;0]</v>
      </c>
      <c r="J99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</v>
      </c>
    </row>
    <row r="100" spans="1:10" x14ac:dyDescent="0.25">
      <c r="A100">
        <f>probaPass!AG100</f>
        <v>0</v>
      </c>
      <c r="B100">
        <f>probaFail!AH100</f>
        <v>0</v>
      </c>
      <c r="C100">
        <f>probaDropout!AI100</f>
        <v>1</v>
      </c>
      <c r="E100" t="str">
        <f t="shared" si="2"/>
        <v>[0;0;1]</v>
      </c>
      <c r="J100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</v>
      </c>
    </row>
    <row r="101" spans="1:10" x14ac:dyDescent="0.25">
      <c r="A101">
        <f>probaPass!AG101</f>
        <v>1</v>
      </c>
      <c r="B101">
        <f>probaFail!AH101</f>
        <v>0</v>
      </c>
      <c r="C101">
        <f>probaDropout!AI101</f>
        <v>0</v>
      </c>
      <c r="E101" t="str">
        <f t="shared" si="2"/>
        <v>[1;0;0]</v>
      </c>
      <c r="J101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</v>
      </c>
    </row>
    <row r="102" spans="1:10" x14ac:dyDescent="0.25">
      <c r="A102">
        <f>probaPass!AG102</f>
        <v>0</v>
      </c>
      <c r="B102">
        <f>probaFail!AH102</f>
        <v>0</v>
      </c>
      <c r="C102">
        <f>probaDropout!AI102</f>
        <v>1</v>
      </c>
      <c r="E102" t="str">
        <f t="shared" si="2"/>
        <v>[0;0;1]</v>
      </c>
      <c r="J102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</v>
      </c>
    </row>
    <row r="103" spans="1:10" x14ac:dyDescent="0.25">
      <c r="A103">
        <f>probaPass!AG103</f>
        <v>1</v>
      </c>
      <c r="B103">
        <f>probaFail!AH103</f>
        <v>0</v>
      </c>
      <c r="C103">
        <f>probaDropout!AI103</f>
        <v>0</v>
      </c>
      <c r="E103" t="str">
        <f t="shared" si="2"/>
        <v>[1;0;0]</v>
      </c>
      <c r="J103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</v>
      </c>
    </row>
    <row r="104" spans="1:10" x14ac:dyDescent="0.25">
      <c r="A104">
        <f>probaPass!AG104</f>
        <v>0</v>
      </c>
      <c r="B104">
        <f>probaFail!AH104</f>
        <v>0</v>
      </c>
      <c r="C104">
        <f>probaDropout!AI104</f>
        <v>1</v>
      </c>
      <c r="E104" t="str">
        <f t="shared" si="2"/>
        <v>[0;0;1]</v>
      </c>
      <c r="J104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</v>
      </c>
    </row>
    <row r="105" spans="1:10" x14ac:dyDescent="0.25">
      <c r="A105">
        <f>probaPass!AG105</f>
        <v>1</v>
      </c>
      <c r="B105">
        <f>probaFail!AH105</f>
        <v>0</v>
      </c>
      <c r="C105">
        <f>probaDropout!AI105</f>
        <v>0</v>
      </c>
      <c r="E105" t="str">
        <f t="shared" si="2"/>
        <v>[1;0;0]</v>
      </c>
      <c r="J105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</v>
      </c>
    </row>
    <row r="106" spans="1:10" x14ac:dyDescent="0.25">
      <c r="A106">
        <f>probaPass!AG106</f>
        <v>0</v>
      </c>
      <c r="B106">
        <f>probaFail!AH106</f>
        <v>0</v>
      </c>
      <c r="C106">
        <f>probaDropout!AI106</f>
        <v>1</v>
      </c>
      <c r="E106" t="str">
        <f t="shared" si="2"/>
        <v>[0;0;1]</v>
      </c>
      <c r="J106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</v>
      </c>
    </row>
    <row r="107" spans="1:10" x14ac:dyDescent="0.25">
      <c r="A107">
        <f>probaPass!AG107</f>
        <v>0</v>
      </c>
      <c r="B107">
        <f>probaFail!AH107</f>
        <v>0</v>
      </c>
      <c r="C107">
        <f>probaDropout!AI107</f>
        <v>1</v>
      </c>
      <c r="E107" t="str">
        <f t="shared" si="2"/>
        <v>[0;0;1]</v>
      </c>
      <c r="J107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</v>
      </c>
    </row>
    <row r="108" spans="1:10" x14ac:dyDescent="0.25">
      <c r="A108">
        <f>probaPass!AG108</f>
        <v>0</v>
      </c>
      <c r="B108">
        <f>probaFail!AH108</f>
        <v>0</v>
      </c>
      <c r="C108">
        <f>probaDropout!AI108</f>
        <v>1</v>
      </c>
      <c r="E108" t="str">
        <f t="shared" si="2"/>
        <v>[0;0;1]</v>
      </c>
      <c r="J108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</v>
      </c>
    </row>
    <row r="109" spans="1:10" x14ac:dyDescent="0.25">
      <c r="A109">
        <f>probaPass!AG109</f>
        <v>1</v>
      </c>
      <c r="B109">
        <f>probaFail!AH109</f>
        <v>0</v>
      </c>
      <c r="C109">
        <f>probaDropout!AI109</f>
        <v>0</v>
      </c>
      <c r="E109" t="str">
        <f t="shared" si="2"/>
        <v>[1;0;0]</v>
      </c>
      <c r="J109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</v>
      </c>
    </row>
    <row r="110" spans="1:10" x14ac:dyDescent="0.25">
      <c r="A110">
        <f>probaPass!AG110</f>
        <v>1</v>
      </c>
      <c r="B110">
        <f>probaFail!AH110</f>
        <v>0</v>
      </c>
      <c r="C110">
        <f>probaDropout!AI110</f>
        <v>0</v>
      </c>
      <c r="E110" t="str">
        <f t="shared" si="2"/>
        <v>[1;0;0]</v>
      </c>
      <c r="J110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</v>
      </c>
    </row>
    <row r="111" spans="1:10" x14ac:dyDescent="0.25">
      <c r="A111">
        <f>probaPass!AG111</f>
        <v>0</v>
      </c>
      <c r="B111">
        <f>probaFail!AH111</f>
        <v>0</v>
      </c>
      <c r="C111">
        <f>probaDropout!AI111</f>
        <v>1</v>
      </c>
      <c r="E111" t="str">
        <f t="shared" si="2"/>
        <v>[0;0;1]</v>
      </c>
      <c r="J111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</v>
      </c>
    </row>
    <row r="112" spans="1:10" x14ac:dyDescent="0.25">
      <c r="A112">
        <f>probaPass!AG112</f>
        <v>0</v>
      </c>
      <c r="B112">
        <f>probaFail!AH112</f>
        <v>0</v>
      </c>
      <c r="C112">
        <f>probaDropout!AI112</f>
        <v>1</v>
      </c>
      <c r="E112" t="str">
        <f t="shared" si="2"/>
        <v>[0;0;1]</v>
      </c>
      <c r="J112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</v>
      </c>
    </row>
    <row r="113" spans="1:10" x14ac:dyDescent="0.25">
      <c r="A113">
        <f>probaPass!AG113</f>
        <v>1</v>
      </c>
      <c r="B113">
        <f>probaFail!AH113</f>
        <v>0</v>
      </c>
      <c r="C113">
        <f>probaDropout!AI113</f>
        <v>0</v>
      </c>
      <c r="E113" t="str">
        <f t="shared" si="2"/>
        <v>[1;0;0]</v>
      </c>
      <c r="J113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</v>
      </c>
    </row>
    <row r="114" spans="1:10" x14ac:dyDescent="0.25">
      <c r="A114">
        <f>probaPass!AG114</f>
        <v>1</v>
      </c>
      <c r="B114">
        <f>probaFail!AH114</f>
        <v>0</v>
      </c>
      <c r="C114">
        <f>probaDropout!AI114</f>
        <v>0</v>
      </c>
      <c r="E114" t="str">
        <f t="shared" si="2"/>
        <v>[1;0;0]</v>
      </c>
      <c r="J114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</v>
      </c>
    </row>
    <row r="115" spans="1:10" x14ac:dyDescent="0.25">
      <c r="A115">
        <f>probaPass!AG115</f>
        <v>0.62068965517241381</v>
      </c>
      <c r="B115">
        <f>probaFail!AH115</f>
        <v>0</v>
      </c>
      <c r="C115">
        <f>probaDropout!AI115</f>
        <v>0.37931034482758619</v>
      </c>
      <c r="E115" t="str">
        <f t="shared" si="2"/>
        <v>[0,620689655172414;0;0,379310344827586]</v>
      </c>
      <c r="J115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</v>
      </c>
    </row>
    <row r="116" spans="1:10" x14ac:dyDescent="0.25">
      <c r="A116">
        <f>probaPass!AG116</f>
        <v>1</v>
      </c>
      <c r="B116">
        <f>probaFail!AH116</f>
        <v>0</v>
      </c>
      <c r="C116">
        <f>probaDropout!AI116</f>
        <v>0</v>
      </c>
      <c r="E116" t="str">
        <f t="shared" si="2"/>
        <v>[1;0;0]</v>
      </c>
      <c r="J116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</v>
      </c>
    </row>
    <row r="117" spans="1:10" x14ac:dyDescent="0.25">
      <c r="A117">
        <f>probaPass!AG117</f>
        <v>1</v>
      </c>
      <c r="B117">
        <f>probaFail!AH117</f>
        <v>0</v>
      </c>
      <c r="C117">
        <f>probaDropout!AI117</f>
        <v>0</v>
      </c>
      <c r="E117" t="str">
        <f t="shared" si="2"/>
        <v>[1;0;0]</v>
      </c>
      <c r="J117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</v>
      </c>
    </row>
    <row r="118" spans="1:10" x14ac:dyDescent="0.25">
      <c r="A118">
        <f>probaPass!AG118</f>
        <v>3.4482758620689655E-2</v>
      </c>
      <c r="B118">
        <f>probaFail!AH118</f>
        <v>6.8965517241379309E-2</v>
      </c>
      <c r="C118">
        <f>probaDropout!AI118</f>
        <v>0.89655172413793105</v>
      </c>
      <c r="E118" t="str">
        <f t="shared" si="2"/>
        <v>[0,0344827586206897;0,0689655172413793;0,896551724137931]</v>
      </c>
      <c r="J118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</v>
      </c>
    </row>
    <row r="119" spans="1:10" x14ac:dyDescent="0.25">
      <c r="A119">
        <f>probaPass!AG119</f>
        <v>0</v>
      </c>
      <c r="B119">
        <f>probaFail!AH119</f>
        <v>0</v>
      </c>
      <c r="C119">
        <f>probaDropout!AI119</f>
        <v>1</v>
      </c>
      <c r="E119" t="str">
        <f t="shared" si="2"/>
        <v>[0;0;1]</v>
      </c>
      <c r="J119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</v>
      </c>
    </row>
    <row r="120" spans="1:10" x14ac:dyDescent="0.25">
      <c r="A120">
        <f>probaPass!AG120</f>
        <v>1</v>
      </c>
      <c r="B120">
        <f>probaFail!AH120</f>
        <v>0</v>
      </c>
      <c r="C120">
        <f>probaDropout!AI120</f>
        <v>0</v>
      </c>
      <c r="E120" t="str">
        <f t="shared" si="2"/>
        <v>[1;0;0]</v>
      </c>
      <c r="J120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</v>
      </c>
    </row>
    <row r="121" spans="1:10" x14ac:dyDescent="0.25">
      <c r="A121">
        <f>probaPass!AG121</f>
        <v>1</v>
      </c>
      <c r="B121">
        <f>probaFail!AH121</f>
        <v>0</v>
      </c>
      <c r="C121">
        <f>probaDropout!AI121</f>
        <v>0</v>
      </c>
      <c r="E121" t="str">
        <f t="shared" si="2"/>
        <v>[1;0;0]</v>
      </c>
      <c r="J121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</v>
      </c>
    </row>
    <row r="122" spans="1:10" x14ac:dyDescent="0.25">
      <c r="A122">
        <f>probaPass!AG122</f>
        <v>0</v>
      </c>
      <c r="B122">
        <f>probaFail!AH122</f>
        <v>0</v>
      </c>
      <c r="C122">
        <f>probaDropout!AI122</f>
        <v>1</v>
      </c>
      <c r="E122" t="str">
        <f t="shared" si="2"/>
        <v>[0;0;1]</v>
      </c>
      <c r="J122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</v>
      </c>
    </row>
    <row r="123" spans="1:10" x14ac:dyDescent="0.25">
      <c r="A123">
        <f>probaPass!AG123</f>
        <v>1</v>
      </c>
      <c r="B123">
        <f>probaFail!AH123</f>
        <v>0</v>
      </c>
      <c r="C123">
        <f>probaDropout!AI123</f>
        <v>0</v>
      </c>
      <c r="E123" t="str">
        <f t="shared" si="2"/>
        <v>[1;0;0]</v>
      </c>
      <c r="J123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</v>
      </c>
    </row>
    <row r="124" spans="1:10" x14ac:dyDescent="0.25">
      <c r="A124">
        <f>probaPass!AG124</f>
        <v>0</v>
      </c>
      <c r="B124">
        <f>probaFail!AH124</f>
        <v>0</v>
      </c>
      <c r="C124">
        <f>probaDropout!AI124</f>
        <v>1</v>
      </c>
      <c r="E124" t="str">
        <f t="shared" si="2"/>
        <v>[0;0;1]</v>
      </c>
      <c r="J124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</v>
      </c>
    </row>
    <row r="125" spans="1:10" x14ac:dyDescent="0.25">
      <c r="A125">
        <f>probaPass!AG125</f>
        <v>6.8965517241379309E-2</v>
      </c>
      <c r="B125">
        <f>probaFail!AH125</f>
        <v>0</v>
      </c>
      <c r="C125">
        <f>probaDropout!AI125</f>
        <v>0.93103448275862066</v>
      </c>
      <c r="E125" t="str">
        <f t="shared" si="2"/>
        <v>[0,0689655172413793;0;0,931034482758621]</v>
      </c>
      <c r="J125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</v>
      </c>
    </row>
    <row r="126" spans="1:10" x14ac:dyDescent="0.25">
      <c r="A126">
        <f>probaPass!AG126</f>
        <v>1</v>
      </c>
      <c r="B126">
        <f>probaFail!AH126</f>
        <v>0</v>
      </c>
      <c r="C126">
        <f>probaDropout!AI126</f>
        <v>0</v>
      </c>
      <c r="E126" t="str">
        <f t="shared" si="2"/>
        <v>[1;0;0]</v>
      </c>
      <c r="J126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</v>
      </c>
    </row>
    <row r="127" spans="1:10" x14ac:dyDescent="0.25">
      <c r="A127">
        <f>probaPass!AG127</f>
        <v>0.27586206896551724</v>
      </c>
      <c r="B127">
        <f>probaFail!AH127</f>
        <v>0</v>
      </c>
      <c r="C127">
        <f>probaDropout!AI127</f>
        <v>0.72413793103448276</v>
      </c>
      <c r="E127" t="str">
        <f t="shared" si="2"/>
        <v>[0,275862068965517;0;0,724137931034483]</v>
      </c>
      <c r="J127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</v>
      </c>
    </row>
    <row r="128" spans="1:10" x14ac:dyDescent="0.25">
      <c r="A128">
        <f>probaPass!AG128</f>
        <v>0</v>
      </c>
      <c r="B128">
        <f>probaFail!AH128</f>
        <v>0</v>
      </c>
      <c r="C128">
        <f>probaDropout!AI128</f>
        <v>1</v>
      </c>
      <c r="E128" t="str">
        <f t="shared" si="2"/>
        <v>[0;0;1]</v>
      </c>
      <c r="J128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</v>
      </c>
    </row>
    <row r="129" spans="1:10" x14ac:dyDescent="0.25">
      <c r="A129">
        <f>probaPass!AG129</f>
        <v>1</v>
      </c>
      <c r="B129">
        <f>probaFail!AH129</f>
        <v>0</v>
      </c>
      <c r="C129">
        <f>probaDropout!AI129</f>
        <v>0</v>
      </c>
      <c r="E129" t="str">
        <f t="shared" si="2"/>
        <v>[1;0;0]</v>
      </c>
      <c r="J129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</v>
      </c>
    </row>
    <row r="130" spans="1:10" x14ac:dyDescent="0.25">
      <c r="A130">
        <f>probaPass!AG130</f>
        <v>1</v>
      </c>
      <c r="B130">
        <f>probaFail!AH130</f>
        <v>0</v>
      </c>
      <c r="C130">
        <f>probaDropout!AI130</f>
        <v>0</v>
      </c>
      <c r="E130" t="str">
        <f t="shared" si="2"/>
        <v>[1;0;0]</v>
      </c>
      <c r="J130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</v>
      </c>
    </row>
    <row r="131" spans="1:10" x14ac:dyDescent="0.25">
      <c r="A131">
        <f>probaPass!AG131</f>
        <v>0</v>
      </c>
      <c r="B131">
        <f>probaFail!AH131</f>
        <v>0</v>
      </c>
      <c r="C131">
        <f>probaDropout!AI131</f>
        <v>1</v>
      </c>
      <c r="E131" t="str">
        <f t="shared" ref="E131:E194" si="4">_xlfn.CONCAT("[",A131,";",B131,";",C131,"]")</f>
        <v>[0;0;1]</v>
      </c>
      <c r="J131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</v>
      </c>
    </row>
    <row r="132" spans="1:10" x14ac:dyDescent="0.25">
      <c r="A132">
        <f>probaPass!AG132</f>
        <v>1</v>
      </c>
      <c r="B132">
        <f>probaFail!AH132</f>
        <v>0</v>
      </c>
      <c r="C132">
        <f>probaDropout!AI132</f>
        <v>0</v>
      </c>
      <c r="E132" t="str">
        <f t="shared" si="4"/>
        <v>[1;0;0]</v>
      </c>
      <c r="J132" t="str">
        <f t="shared" ref="J132:J195" si="5">_xlfn.CONCAT(J131,";",E132)</f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</v>
      </c>
    </row>
    <row r="133" spans="1:10" x14ac:dyDescent="0.25">
      <c r="A133">
        <f>probaPass!AG133</f>
        <v>0</v>
      </c>
      <c r="B133">
        <f>probaFail!AH133</f>
        <v>0</v>
      </c>
      <c r="C133">
        <f>probaDropout!AI133</f>
        <v>1</v>
      </c>
      <c r="E133" t="str">
        <f t="shared" si="4"/>
        <v>[0;0;1]</v>
      </c>
      <c r="J133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</v>
      </c>
    </row>
    <row r="134" spans="1:10" x14ac:dyDescent="0.25">
      <c r="A134">
        <f>probaPass!AG134</f>
        <v>0</v>
      </c>
      <c r="B134">
        <f>probaFail!AH134</f>
        <v>0</v>
      </c>
      <c r="C134">
        <f>probaDropout!AI134</f>
        <v>1</v>
      </c>
      <c r="E134" t="str">
        <f t="shared" si="4"/>
        <v>[0;0;1]</v>
      </c>
      <c r="J134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</v>
      </c>
    </row>
    <row r="135" spans="1:10" x14ac:dyDescent="0.25">
      <c r="A135">
        <f>probaPass!AG135</f>
        <v>1</v>
      </c>
      <c r="B135">
        <f>probaFail!AH135</f>
        <v>0</v>
      </c>
      <c r="C135">
        <f>probaDropout!AI135</f>
        <v>0</v>
      </c>
      <c r="E135" t="str">
        <f t="shared" si="4"/>
        <v>[1;0;0]</v>
      </c>
      <c r="J135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</v>
      </c>
    </row>
    <row r="136" spans="1:10" x14ac:dyDescent="0.25">
      <c r="A136">
        <f>probaPass!AG136</f>
        <v>6.8965517241379309E-2</v>
      </c>
      <c r="B136">
        <f>probaFail!AH136</f>
        <v>0</v>
      </c>
      <c r="C136">
        <f>probaDropout!AI136</f>
        <v>0.93103448275862066</v>
      </c>
      <c r="E136" t="str">
        <f t="shared" si="4"/>
        <v>[0,0689655172413793;0;0,931034482758621]</v>
      </c>
      <c r="J136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</v>
      </c>
    </row>
    <row r="137" spans="1:10" x14ac:dyDescent="0.25">
      <c r="A137">
        <f>probaPass!AG137</f>
        <v>1</v>
      </c>
      <c r="B137">
        <f>probaFail!AH137</f>
        <v>0</v>
      </c>
      <c r="C137">
        <f>probaDropout!AI137</f>
        <v>0</v>
      </c>
      <c r="E137" t="str">
        <f t="shared" si="4"/>
        <v>[1;0;0]</v>
      </c>
      <c r="J137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</v>
      </c>
    </row>
    <row r="138" spans="1:10" x14ac:dyDescent="0.25">
      <c r="A138">
        <f>probaPass!AG138</f>
        <v>1</v>
      </c>
      <c r="B138">
        <f>probaFail!AH138</f>
        <v>0</v>
      </c>
      <c r="C138">
        <f>probaDropout!AI138</f>
        <v>0</v>
      </c>
      <c r="E138" t="str">
        <f t="shared" si="4"/>
        <v>[1;0;0]</v>
      </c>
      <c r="J138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</v>
      </c>
    </row>
    <row r="139" spans="1:10" x14ac:dyDescent="0.25">
      <c r="A139">
        <f>probaPass!AG139</f>
        <v>0</v>
      </c>
      <c r="B139">
        <f>probaFail!AH139</f>
        <v>0</v>
      </c>
      <c r="C139">
        <f>probaDropout!AI139</f>
        <v>1</v>
      </c>
      <c r="E139" t="str">
        <f t="shared" si="4"/>
        <v>[0;0;1]</v>
      </c>
      <c r="J139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</v>
      </c>
    </row>
    <row r="140" spans="1:10" x14ac:dyDescent="0.25">
      <c r="A140">
        <f>probaPass!AG140</f>
        <v>1</v>
      </c>
      <c r="B140">
        <f>probaFail!AH140</f>
        <v>0</v>
      </c>
      <c r="C140">
        <f>probaDropout!AI140</f>
        <v>0</v>
      </c>
      <c r="E140" t="str">
        <f t="shared" si="4"/>
        <v>[1;0;0]</v>
      </c>
      <c r="J140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</v>
      </c>
    </row>
    <row r="141" spans="1:10" x14ac:dyDescent="0.25">
      <c r="A141">
        <f>probaPass!AG141</f>
        <v>0</v>
      </c>
      <c r="B141">
        <f>probaFail!AH141</f>
        <v>0</v>
      </c>
      <c r="C141">
        <f>probaDropout!AI141</f>
        <v>1</v>
      </c>
      <c r="E141" t="str">
        <f t="shared" si="4"/>
        <v>[0;0;1]</v>
      </c>
      <c r="J141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</v>
      </c>
    </row>
    <row r="142" spans="1:10" x14ac:dyDescent="0.25">
      <c r="A142">
        <f>probaPass!AG142</f>
        <v>0.93103448275862066</v>
      </c>
      <c r="B142">
        <f>probaFail!AH142</f>
        <v>6.8965517241379309E-2</v>
      </c>
      <c r="C142">
        <f>probaDropout!AI142</f>
        <v>0</v>
      </c>
      <c r="E142" t="str">
        <f t="shared" si="4"/>
        <v>[0,931034482758621;0,0689655172413793;0]</v>
      </c>
      <c r="J142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</v>
      </c>
    </row>
    <row r="143" spans="1:10" x14ac:dyDescent="0.25">
      <c r="A143">
        <f>probaPass!AG143</f>
        <v>0</v>
      </c>
      <c r="B143">
        <f>probaFail!AH143</f>
        <v>0</v>
      </c>
      <c r="C143">
        <f>probaDropout!AI143</f>
        <v>1</v>
      </c>
      <c r="E143" t="str">
        <f t="shared" si="4"/>
        <v>[0;0;1]</v>
      </c>
      <c r="J143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</v>
      </c>
    </row>
    <row r="144" spans="1:10" x14ac:dyDescent="0.25">
      <c r="A144">
        <f>probaPass!AG144</f>
        <v>1</v>
      </c>
      <c r="B144">
        <f>probaFail!AH144</f>
        <v>0</v>
      </c>
      <c r="C144">
        <f>probaDropout!AI144</f>
        <v>0</v>
      </c>
      <c r="E144" t="str">
        <f t="shared" si="4"/>
        <v>[1;0;0]</v>
      </c>
      <c r="J144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</v>
      </c>
    </row>
    <row r="145" spans="1:10" x14ac:dyDescent="0.25">
      <c r="A145">
        <f>probaPass!AG145</f>
        <v>0</v>
      </c>
      <c r="B145">
        <f>probaFail!AH145</f>
        <v>0</v>
      </c>
      <c r="C145">
        <f>probaDropout!AI145</f>
        <v>1</v>
      </c>
      <c r="E145" t="str">
        <f t="shared" si="4"/>
        <v>[0;0;1]</v>
      </c>
      <c r="J145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</v>
      </c>
    </row>
    <row r="146" spans="1:10" x14ac:dyDescent="0.25">
      <c r="A146">
        <f>probaPass!AG146</f>
        <v>1</v>
      </c>
      <c r="B146">
        <f>probaFail!AH146</f>
        <v>0</v>
      </c>
      <c r="C146">
        <f>probaDropout!AI146</f>
        <v>0</v>
      </c>
      <c r="E146" t="str">
        <f t="shared" si="4"/>
        <v>[1;0;0]</v>
      </c>
      <c r="J146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</v>
      </c>
    </row>
    <row r="147" spans="1:10" x14ac:dyDescent="0.25">
      <c r="A147">
        <f>probaPass!AG147</f>
        <v>0</v>
      </c>
      <c r="B147">
        <f>probaFail!AH147</f>
        <v>0</v>
      </c>
      <c r="C147">
        <f>probaDropout!AI147</f>
        <v>1</v>
      </c>
      <c r="E147" t="str">
        <f t="shared" si="4"/>
        <v>[0;0;1]</v>
      </c>
      <c r="J147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</v>
      </c>
    </row>
    <row r="148" spans="1:10" x14ac:dyDescent="0.25">
      <c r="A148">
        <f>probaPass!AG148</f>
        <v>1</v>
      </c>
      <c r="B148">
        <f>probaFail!AH148</f>
        <v>0</v>
      </c>
      <c r="C148">
        <f>probaDropout!AI148</f>
        <v>0</v>
      </c>
      <c r="E148" t="str">
        <f t="shared" si="4"/>
        <v>[1;0;0]</v>
      </c>
      <c r="J148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</v>
      </c>
    </row>
    <row r="149" spans="1:10" x14ac:dyDescent="0.25">
      <c r="A149">
        <f>probaPass!AG149</f>
        <v>1</v>
      </c>
      <c r="B149">
        <f>probaFail!AH149</f>
        <v>0</v>
      </c>
      <c r="C149">
        <f>probaDropout!AI149</f>
        <v>0</v>
      </c>
      <c r="E149" t="str">
        <f t="shared" si="4"/>
        <v>[1;0;0]</v>
      </c>
      <c r="J149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</v>
      </c>
    </row>
    <row r="150" spans="1:10" x14ac:dyDescent="0.25">
      <c r="A150">
        <f>probaPass!AG150</f>
        <v>0</v>
      </c>
      <c r="B150">
        <f>probaFail!AH150</f>
        <v>0</v>
      </c>
      <c r="C150">
        <f>probaDropout!AI150</f>
        <v>1</v>
      </c>
      <c r="E150" t="str">
        <f t="shared" si="4"/>
        <v>[0;0;1]</v>
      </c>
      <c r="J150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</v>
      </c>
    </row>
    <row r="151" spans="1:10" x14ac:dyDescent="0.25">
      <c r="A151">
        <f>probaPass!AG151</f>
        <v>1</v>
      </c>
      <c r="B151">
        <f>probaFail!AH151</f>
        <v>0</v>
      </c>
      <c r="C151">
        <f>probaDropout!AI151</f>
        <v>0</v>
      </c>
      <c r="E151" t="str">
        <f t="shared" si="4"/>
        <v>[1;0;0]</v>
      </c>
      <c r="J151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</v>
      </c>
    </row>
    <row r="152" spans="1:10" x14ac:dyDescent="0.25">
      <c r="A152">
        <f>probaPass!AG152</f>
        <v>0</v>
      </c>
      <c r="B152">
        <f>probaFail!AH152</f>
        <v>0</v>
      </c>
      <c r="C152">
        <f>probaDropout!AI152</f>
        <v>1</v>
      </c>
      <c r="E152" t="str">
        <f t="shared" si="4"/>
        <v>[0;0;1]</v>
      </c>
      <c r="J152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</v>
      </c>
    </row>
    <row r="153" spans="1:10" x14ac:dyDescent="0.25">
      <c r="A153">
        <f>probaPass!AG153</f>
        <v>1</v>
      </c>
      <c r="B153">
        <f>probaFail!AH153</f>
        <v>0</v>
      </c>
      <c r="C153">
        <f>probaDropout!AI153</f>
        <v>0</v>
      </c>
      <c r="E153" t="str">
        <f t="shared" si="4"/>
        <v>[1;0;0]</v>
      </c>
      <c r="J153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</v>
      </c>
    </row>
    <row r="154" spans="1:10" x14ac:dyDescent="0.25">
      <c r="A154">
        <f>probaPass!AG154</f>
        <v>1</v>
      </c>
      <c r="B154">
        <f>probaFail!AH154</f>
        <v>0</v>
      </c>
      <c r="C154">
        <f>probaDropout!AI154</f>
        <v>0</v>
      </c>
      <c r="E154" t="str">
        <f t="shared" si="4"/>
        <v>[1;0;0]</v>
      </c>
      <c r="J154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</v>
      </c>
    </row>
    <row r="155" spans="1:10" x14ac:dyDescent="0.25">
      <c r="A155">
        <f>probaPass!AG155</f>
        <v>6.8965517241379309E-2</v>
      </c>
      <c r="B155">
        <f>probaFail!AH155</f>
        <v>3.4482758620689655E-2</v>
      </c>
      <c r="C155">
        <f>probaDropout!AI155</f>
        <v>0.89655172413793105</v>
      </c>
      <c r="E155" t="str">
        <f t="shared" si="4"/>
        <v>[0,0689655172413793;0,0344827586206897;0,896551724137931]</v>
      </c>
      <c r="J155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</v>
      </c>
    </row>
    <row r="156" spans="1:10" x14ac:dyDescent="0.25">
      <c r="A156">
        <f>probaPass!AG156</f>
        <v>1</v>
      </c>
      <c r="B156">
        <f>probaFail!AH156</f>
        <v>0</v>
      </c>
      <c r="C156">
        <f>probaDropout!AI156</f>
        <v>0</v>
      </c>
      <c r="E156" t="str">
        <f t="shared" si="4"/>
        <v>[1;0;0]</v>
      </c>
      <c r="J156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</v>
      </c>
    </row>
    <row r="157" spans="1:10" x14ac:dyDescent="0.25">
      <c r="A157">
        <f>probaPass!AG157</f>
        <v>0.82758620689655171</v>
      </c>
      <c r="B157">
        <f>probaFail!AH157</f>
        <v>0</v>
      </c>
      <c r="C157">
        <f>probaDropout!AI157</f>
        <v>0.17241379310344829</v>
      </c>
      <c r="E157" t="str">
        <f t="shared" si="4"/>
        <v>[0,827586206896552;0;0,172413793103448]</v>
      </c>
      <c r="J157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</v>
      </c>
    </row>
    <row r="158" spans="1:10" x14ac:dyDescent="0.25">
      <c r="A158">
        <f>probaPass!AG158</f>
        <v>0</v>
      </c>
      <c r="B158">
        <f>probaFail!AH158</f>
        <v>0</v>
      </c>
      <c r="C158">
        <f>probaDropout!AI158</f>
        <v>1</v>
      </c>
      <c r="E158" t="str">
        <f t="shared" si="4"/>
        <v>[0;0;1]</v>
      </c>
      <c r="J158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</v>
      </c>
    </row>
    <row r="159" spans="1:10" x14ac:dyDescent="0.25">
      <c r="A159">
        <f>probaPass!AG159</f>
        <v>1</v>
      </c>
      <c r="B159">
        <f>probaFail!AH159</f>
        <v>0</v>
      </c>
      <c r="C159">
        <f>probaDropout!AI159</f>
        <v>0</v>
      </c>
      <c r="E159" t="str">
        <f t="shared" si="4"/>
        <v>[1;0;0]</v>
      </c>
      <c r="J159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</v>
      </c>
    </row>
    <row r="160" spans="1:10" x14ac:dyDescent="0.25">
      <c r="A160">
        <f>probaPass!AG160</f>
        <v>0</v>
      </c>
      <c r="B160">
        <f>probaFail!AH160</f>
        <v>0</v>
      </c>
      <c r="C160">
        <f>probaDropout!AI160</f>
        <v>1</v>
      </c>
      <c r="E160" t="str">
        <f t="shared" si="4"/>
        <v>[0;0;1]</v>
      </c>
      <c r="J160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</v>
      </c>
    </row>
    <row r="161" spans="1:10" x14ac:dyDescent="0.25">
      <c r="A161">
        <f>probaPass!AG161</f>
        <v>0.51724137931034486</v>
      </c>
      <c r="B161">
        <f>probaFail!AH161</f>
        <v>0</v>
      </c>
      <c r="C161">
        <f>probaDropout!AI161</f>
        <v>0.48275862068965519</v>
      </c>
      <c r="E161" t="str">
        <f t="shared" si="4"/>
        <v>[0,517241379310345;0;0,482758620689655]</v>
      </c>
      <c r="J161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</v>
      </c>
    </row>
    <row r="162" spans="1:10" x14ac:dyDescent="0.25">
      <c r="A162">
        <f>probaPass!AG162</f>
        <v>1</v>
      </c>
      <c r="B162">
        <f>probaFail!AH162</f>
        <v>0</v>
      </c>
      <c r="C162">
        <f>probaDropout!AI162</f>
        <v>0</v>
      </c>
      <c r="E162" t="str">
        <f t="shared" si="4"/>
        <v>[1;0;0]</v>
      </c>
      <c r="J162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</v>
      </c>
    </row>
    <row r="163" spans="1:10" x14ac:dyDescent="0.25">
      <c r="A163">
        <f>probaPass!AG163</f>
        <v>0</v>
      </c>
      <c r="B163">
        <f>probaFail!AH163</f>
        <v>0</v>
      </c>
      <c r="C163">
        <f>probaDropout!AI163</f>
        <v>1</v>
      </c>
      <c r="E163" t="str">
        <f t="shared" si="4"/>
        <v>[0;0;1]</v>
      </c>
      <c r="J163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</v>
      </c>
    </row>
    <row r="164" spans="1:10" x14ac:dyDescent="0.25">
      <c r="A164">
        <f>probaPass!AG164</f>
        <v>1</v>
      </c>
      <c r="B164">
        <f>probaFail!AH164</f>
        <v>0</v>
      </c>
      <c r="C164">
        <f>probaDropout!AI164</f>
        <v>0</v>
      </c>
      <c r="E164" t="str">
        <f t="shared" si="4"/>
        <v>[1;0;0]</v>
      </c>
      <c r="J164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</v>
      </c>
    </row>
    <row r="165" spans="1:10" x14ac:dyDescent="0.25">
      <c r="A165">
        <f>probaPass!AG165</f>
        <v>0</v>
      </c>
      <c r="B165">
        <f>probaFail!AH165</f>
        <v>0</v>
      </c>
      <c r="C165">
        <f>probaDropout!AI165</f>
        <v>1</v>
      </c>
      <c r="E165" t="str">
        <f t="shared" si="4"/>
        <v>[0;0;1]</v>
      </c>
      <c r="J165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</v>
      </c>
    </row>
    <row r="166" spans="1:10" x14ac:dyDescent="0.25">
      <c r="A166">
        <f>probaPass!AG166</f>
        <v>1</v>
      </c>
      <c r="B166">
        <f>probaFail!AH166</f>
        <v>0</v>
      </c>
      <c r="C166">
        <f>probaDropout!AI166</f>
        <v>0</v>
      </c>
      <c r="E166" t="str">
        <f t="shared" si="4"/>
        <v>[1;0;0]</v>
      </c>
      <c r="J166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</v>
      </c>
    </row>
    <row r="167" spans="1:10" x14ac:dyDescent="0.25">
      <c r="A167">
        <f>probaPass!AG167</f>
        <v>1</v>
      </c>
      <c r="B167">
        <f>probaFail!AH167</f>
        <v>0</v>
      </c>
      <c r="C167">
        <f>probaDropout!AI167</f>
        <v>0</v>
      </c>
      <c r="E167" t="str">
        <f t="shared" si="4"/>
        <v>[1;0;0]</v>
      </c>
      <c r="J167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</v>
      </c>
    </row>
    <row r="168" spans="1:10" x14ac:dyDescent="0.25">
      <c r="A168">
        <f>probaPass!AG168</f>
        <v>0.86206896551724133</v>
      </c>
      <c r="B168">
        <f>probaFail!AH168</f>
        <v>0</v>
      </c>
      <c r="C168">
        <f>probaDropout!AI168</f>
        <v>0.13793103448275862</v>
      </c>
      <c r="E168" t="str">
        <f t="shared" si="4"/>
        <v>[0,862068965517241;0;0,137931034482759]</v>
      </c>
      <c r="J168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</v>
      </c>
    </row>
    <row r="169" spans="1:10" x14ac:dyDescent="0.25">
      <c r="A169">
        <f>probaPass!AG169</f>
        <v>0</v>
      </c>
      <c r="B169">
        <f>probaFail!AH169</f>
        <v>0</v>
      </c>
      <c r="C169">
        <f>probaDropout!AI169</f>
        <v>1</v>
      </c>
      <c r="E169" t="str">
        <f t="shared" si="4"/>
        <v>[0;0;1]</v>
      </c>
      <c r="J169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</v>
      </c>
    </row>
    <row r="170" spans="1:10" x14ac:dyDescent="0.25">
      <c r="A170">
        <f>probaPass!AG170</f>
        <v>1</v>
      </c>
      <c r="B170">
        <f>probaFail!AH170</f>
        <v>0</v>
      </c>
      <c r="C170">
        <f>probaDropout!AI170</f>
        <v>0</v>
      </c>
      <c r="E170" t="str">
        <f t="shared" si="4"/>
        <v>[1;0;0]</v>
      </c>
      <c r="J170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</v>
      </c>
    </row>
    <row r="171" spans="1:10" x14ac:dyDescent="0.25">
      <c r="A171">
        <f>probaPass!AG171</f>
        <v>0</v>
      </c>
      <c r="B171">
        <f>probaFail!AH171</f>
        <v>0</v>
      </c>
      <c r="C171">
        <f>probaDropout!AI171</f>
        <v>1</v>
      </c>
      <c r="E171" t="str">
        <f t="shared" si="4"/>
        <v>[0;0;1]</v>
      </c>
      <c r="J171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</v>
      </c>
    </row>
    <row r="172" spans="1:10" x14ac:dyDescent="0.25">
      <c r="A172">
        <f>probaPass!AG172</f>
        <v>0.75862068965517238</v>
      </c>
      <c r="B172">
        <f>probaFail!AH172</f>
        <v>0</v>
      </c>
      <c r="C172">
        <f>probaDropout!AI172</f>
        <v>0.2413793103448276</v>
      </c>
      <c r="E172" t="str">
        <f t="shared" si="4"/>
        <v>[0,758620689655172;0;0,241379310344828]</v>
      </c>
      <c r="J172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</v>
      </c>
    </row>
    <row r="173" spans="1:10" x14ac:dyDescent="0.25">
      <c r="A173">
        <f>probaPass!AG173</f>
        <v>0</v>
      </c>
      <c r="B173">
        <f>probaFail!AH173</f>
        <v>0</v>
      </c>
      <c r="C173">
        <f>probaDropout!AI173</f>
        <v>1</v>
      </c>
      <c r="E173" t="str">
        <f t="shared" si="4"/>
        <v>[0;0;1]</v>
      </c>
      <c r="J173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</v>
      </c>
    </row>
    <row r="174" spans="1:10" x14ac:dyDescent="0.25">
      <c r="A174">
        <f>probaPass!AG174</f>
        <v>1</v>
      </c>
      <c r="B174">
        <f>probaFail!AH174</f>
        <v>0</v>
      </c>
      <c r="C174">
        <f>probaDropout!AI174</f>
        <v>0</v>
      </c>
      <c r="E174" t="str">
        <f t="shared" si="4"/>
        <v>[1;0;0]</v>
      </c>
      <c r="J174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</v>
      </c>
    </row>
    <row r="175" spans="1:10" x14ac:dyDescent="0.25">
      <c r="A175">
        <f>probaPass!AG175</f>
        <v>1</v>
      </c>
      <c r="B175">
        <f>probaFail!AH175</f>
        <v>0</v>
      </c>
      <c r="C175">
        <f>probaDropout!AI175</f>
        <v>0</v>
      </c>
      <c r="E175" t="str">
        <f t="shared" si="4"/>
        <v>[1;0;0]</v>
      </c>
      <c r="J175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</v>
      </c>
    </row>
    <row r="176" spans="1:10" x14ac:dyDescent="0.25">
      <c r="A176">
        <f>probaPass!AG176</f>
        <v>0</v>
      </c>
      <c r="B176">
        <f>probaFail!AH176</f>
        <v>0</v>
      </c>
      <c r="C176">
        <f>probaDropout!AI176</f>
        <v>1</v>
      </c>
      <c r="E176" t="str">
        <f t="shared" si="4"/>
        <v>[0;0;1]</v>
      </c>
      <c r="J176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</v>
      </c>
    </row>
    <row r="177" spans="1:10" x14ac:dyDescent="0.25">
      <c r="A177">
        <f>probaPass!AG177</f>
        <v>0</v>
      </c>
      <c r="B177">
        <f>probaFail!AH177</f>
        <v>0</v>
      </c>
      <c r="C177">
        <f>probaDropout!AI177</f>
        <v>1</v>
      </c>
      <c r="E177" t="str">
        <f t="shared" si="4"/>
        <v>[0;0;1]</v>
      </c>
      <c r="J177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</v>
      </c>
    </row>
    <row r="178" spans="1:10" x14ac:dyDescent="0.25">
      <c r="A178">
        <f>probaPass!AG178</f>
        <v>0</v>
      </c>
      <c r="B178">
        <f>probaFail!AH178</f>
        <v>0</v>
      </c>
      <c r="C178">
        <f>probaDropout!AI178</f>
        <v>1</v>
      </c>
      <c r="E178" t="str">
        <f t="shared" si="4"/>
        <v>[0;0;1]</v>
      </c>
      <c r="J178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</v>
      </c>
    </row>
    <row r="179" spans="1:10" x14ac:dyDescent="0.25">
      <c r="A179">
        <f>probaPass!AG179</f>
        <v>1</v>
      </c>
      <c r="B179">
        <f>probaFail!AH179</f>
        <v>0</v>
      </c>
      <c r="C179">
        <f>probaDropout!AI179</f>
        <v>0</v>
      </c>
      <c r="E179" t="str">
        <f t="shared" si="4"/>
        <v>[1;0;0]</v>
      </c>
      <c r="J179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</v>
      </c>
    </row>
    <row r="180" spans="1:10" x14ac:dyDescent="0.25">
      <c r="A180">
        <f>probaPass!AG180</f>
        <v>1</v>
      </c>
      <c r="B180">
        <f>probaFail!AH180</f>
        <v>0</v>
      </c>
      <c r="C180">
        <f>probaDropout!AI180</f>
        <v>0</v>
      </c>
      <c r="E180" t="str">
        <f t="shared" si="4"/>
        <v>[1;0;0]</v>
      </c>
      <c r="J180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</v>
      </c>
    </row>
    <row r="181" spans="1:10" x14ac:dyDescent="0.25">
      <c r="A181">
        <f>probaPass!AG181</f>
        <v>1</v>
      </c>
      <c r="B181">
        <f>probaFail!AH181</f>
        <v>0</v>
      </c>
      <c r="C181">
        <f>probaDropout!AI181</f>
        <v>0</v>
      </c>
      <c r="E181" t="str">
        <f t="shared" si="4"/>
        <v>[1;0;0]</v>
      </c>
      <c r="J181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</v>
      </c>
    </row>
    <row r="182" spans="1:10" x14ac:dyDescent="0.25">
      <c r="A182">
        <f>probaPass!AG182</f>
        <v>0.10344827586206896</v>
      </c>
      <c r="B182">
        <f>probaFail!AH182</f>
        <v>0</v>
      </c>
      <c r="C182">
        <f>probaDropout!AI182</f>
        <v>0.89655172413793105</v>
      </c>
      <c r="E182" t="str">
        <f t="shared" si="4"/>
        <v>[0,103448275862069;0;0,896551724137931]</v>
      </c>
      <c r="J182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</v>
      </c>
    </row>
    <row r="183" spans="1:10" x14ac:dyDescent="0.25">
      <c r="A183">
        <f>probaPass!AG183</f>
        <v>1</v>
      </c>
      <c r="B183">
        <f>probaFail!AH183</f>
        <v>0</v>
      </c>
      <c r="C183">
        <f>probaDropout!AI183</f>
        <v>0</v>
      </c>
      <c r="E183" t="str">
        <f t="shared" si="4"/>
        <v>[1;0;0]</v>
      </c>
      <c r="J183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</v>
      </c>
    </row>
    <row r="184" spans="1:10" x14ac:dyDescent="0.25">
      <c r="A184">
        <f>probaPass!AG184</f>
        <v>1</v>
      </c>
      <c r="B184">
        <f>probaFail!AH184</f>
        <v>0</v>
      </c>
      <c r="C184">
        <f>probaDropout!AI184</f>
        <v>0</v>
      </c>
      <c r="E184" t="str">
        <f t="shared" si="4"/>
        <v>[1;0;0]</v>
      </c>
      <c r="J184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</v>
      </c>
    </row>
    <row r="185" spans="1:10" x14ac:dyDescent="0.25">
      <c r="A185">
        <f>probaPass!AG185</f>
        <v>1</v>
      </c>
      <c r="B185">
        <f>probaFail!AH185</f>
        <v>0</v>
      </c>
      <c r="C185">
        <f>probaDropout!AI185</f>
        <v>0</v>
      </c>
      <c r="E185" t="str">
        <f t="shared" si="4"/>
        <v>[1;0;0]</v>
      </c>
      <c r="J185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</v>
      </c>
    </row>
    <row r="186" spans="1:10" x14ac:dyDescent="0.25">
      <c r="A186">
        <f>probaPass!AG186</f>
        <v>0</v>
      </c>
      <c r="B186">
        <f>probaFail!AH186</f>
        <v>0</v>
      </c>
      <c r="C186">
        <f>probaDropout!AI186</f>
        <v>1</v>
      </c>
      <c r="E186" t="str">
        <f t="shared" si="4"/>
        <v>[0;0;1]</v>
      </c>
      <c r="J186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</v>
      </c>
    </row>
    <row r="187" spans="1:10" x14ac:dyDescent="0.25">
      <c r="A187">
        <f>probaPass!AG187</f>
        <v>0</v>
      </c>
      <c r="B187">
        <f>probaFail!AH187</f>
        <v>0</v>
      </c>
      <c r="C187">
        <f>probaDropout!AI187</f>
        <v>1</v>
      </c>
      <c r="E187" t="str">
        <f t="shared" si="4"/>
        <v>[0;0;1]</v>
      </c>
      <c r="J187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</v>
      </c>
    </row>
    <row r="188" spans="1:10" x14ac:dyDescent="0.25">
      <c r="A188">
        <f>probaPass!AG188</f>
        <v>1</v>
      </c>
      <c r="B188">
        <f>probaFail!AH188</f>
        <v>0</v>
      </c>
      <c r="C188">
        <f>probaDropout!AI188</f>
        <v>0</v>
      </c>
      <c r="E188" t="str">
        <f t="shared" si="4"/>
        <v>[1;0;0]</v>
      </c>
      <c r="J188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</v>
      </c>
    </row>
    <row r="189" spans="1:10" x14ac:dyDescent="0.25">
      <c r="A189">
        <f>probaPass!AG189</f>
        <v>0.96551724137931039</v>
      </c>
      <c r="B189">
        <f>probaFail!AH189</f>
        <v>0</v>
      </c>
      <c r="C189">
        <f>probaDropout!AI189</f>
        <v>3.4482758620689655E-2</v>
      </c>
      <c r="E189" t="str">
        <f t="shared" si="4"/>
        <v>[0,96551724137931;0;0,0344827586206897]</v>
      </c>
      <c r="J189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</v>
      </c>
    </row>
    <row r="190" spans="1:10" x14ac:dyDescent="0.25">
      <c r="A190">
        <f>probaPass!AG190</f>
        <v>0.48275862068965519</v>
      </c>
      <c r="B190">
        <f>probaFail!AH190</f>
        <v>0</v>
      </c>
      <c r="C190">
        <f>probaDropout!AI190</f>
        <v>0.51724137931034486</v>
      </c>
      <c r="E190" t="str">
        <f t="shared" si="4"/>
        <v>[0,482758620689655;0;0,517241379310345]</v>
      </c>
      <c r="J190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</v>
      </c>
    </row>
    <row r="191" spans="1:10" x14ac:dyDescent="0.25">
      <c r="A191">
        <f>probaPass!AG191</f>
        <v>1</v>
      </c>
      <c r="B191">
        <f>probaFail!AH191</f>
        <v>0</v>
      </c>
      <c r="C191">
        <f>probaDropout!AI191</f>
        <v>0</v>
      </c>
      <c r="E191" t="str">
        <f t="shared" si="4"/>
        <v>[1;0;0]</v>
      </c>
      <c r="J191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</v>
      </c>
    </row>
    <row r="192" spans="1:10" x14ac:dyDescent="0.25">
      <c r="A192">
        <f>probaPass!AG192</f>
        <v>1</v>
      </c>
      <c r="B192">
        <f>probaFail!AH192</f>
        <v>0</v>
      </c>
      <c r="C192">
        <f>probaDropout!AI192</f>
        <v>0</v>
      </c>
      <c r="E192" t="str">
        <f t="shared" si="4"/>
        <v>[1;0;0]</v>
      </c>
      <c r="J192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;[1;0;0]</v>
      </c>
    </row>
    <row r="193" spans="1:10" x14ac:dyDescent="0.25">
      <c r="A193">
        <f>probaPass!AG193</f>
        <v>1</v>
      </c>
      <c r="B193">
        <f>probaFail!AH193</f>
        <v>0</v>
      </c>
      <c r="C193">
        <f>probaDropout!AI193</f>
        <v>0</v>
      </c>
      <c r="E193" t="str">
        <f t="shared" si="4"/>
        <v>[1;0;0]</v>
      </c>
      <c r="J193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;[1;0;0];[1;0;0]</v>
      </c>
    </row>
    <row r="194" spans="1:10" x14ac:dyDescent="0.25">
      <c r="A194">
        <f>probaPass!AG194</f>
        <v>0</v>
      </c>
      <c r="B194">
        <f>probaFail!AH194</f>
        <v>0</v>
      </c>
      <c r="C194">
        <f>probaDropout!AI194</f>
        <v>1</v>
      </c>
      <c r="E194" t="str">
        <f t="shared" si="4"/>
        <v>[0;0;1]</v>
      </c>
      <c r="J194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;[1;0;0];[1;0;0];[0;0;1]</v>
      </c>
    </row>
    <row r="195" spans="1:10" x14ac:dyDescent="0.25">
      <c r="A195">
        <f>probaPass!AG195</f>
        <v>1</v>
      </c>
      <c r="B195">
        <f>probaFail!AH195</f>
        <v>0</v>
      </c>
      <c r="C195">
        <f>probaDropout!AI195</f>
        <v>0</v>
      </c>
      <c r="E195" t="str">
        <f t="shared" ref="E195:E201" si="6">_xlfn.CONCAT("[",A195,";",B195,";",C195,"]")</f>
        <v>[1;0;0]</v>
      </c>
      <c r="J195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;[1;0;0];[1;0;0];[0;0;1];[1;0;0]</v>
      </c>
    </row>
    <row r="196" spans="1:10" x14ac:dyDescent="0.25">
      <c r="A196">
        <f>probaPass!AG196</f>
        <v>1</v>
      </c>
      <c r="B196">
        <f>probaFail!AH196</f>
        <v>0</v>
      </c>
      <c r="C196">
        <f>probaDropout!AI196</f>
        <v>0</v>
      </c>
      <c r="E196" t="str">
        <f t="shared" si="6"/>
        <v>[1;0;0]</v>
      </c>
      <c r="J196" t="str">
        <f t="shared" ref="J196:J201" si="7">_xlfn.CONCAT(J195,";",E196)</f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;[1;0;0];[1;0;0];[0;0;1];[1;0;0];[1;0;0]</v>
      </c>
    </row>
    <row r="197" spans="1:10" x14ac:dyDescent="0.25">
      <c r="A197">
        <f>probaPass!AG197</f>
        <v>0.7931034482758621</v>
      </c>
      <c r="B197">
        <f>probaFail!AH197</f>
        <v>0</v>
      </c>
      <c r="C197">
        <f>probaDropout!AI197</f>
        <v>0.20689655172413793</v>
      </c>
      <c r="E197" t="str">
        <f t="shared" si="6"/>
        <v>[0,793103448275862;0;0,206896551724138]</v>
      </c>
      <c r="J197" t="str">
        <f t="shared" si="7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;[1;0;0];[1;0;0];[0;0;1];[1;0;0];[1;0;0];[0,793103448275862;0;0,206896551724138]</v>
      </c>
    </row>
    <row r="198" spans="1:10" x14ac:dyDescent="0.25">
      <c r="A198">
        <f>probaPass!AG198</f>
        <v>1</v>
      </c>
      <c r="B198">
        <f>probaFail!AH198</f>
        <v>0</v>
      </c>
      <c r="C198">
        <f>probaDropout!AI198</f>
        <v>0</v>
      </c>
      <c r="E198" t="str">
        <f t="shared" si="6"/>
        <v>[1;0;0]</v>
      </c>
      <c r="J198" t="str">
        <f t="shared" si="7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;[1;0;0];[1;0;0];[0;0;1];[1;0;0];[1;0;0];[0,793103448275862;0;0,206896551724138];[1;0;0]</v>
      </c>
    </row>
    <row r="199" spans="1:10" x14ac:dyDescent="0.25">
      <c r="A199">
        <f>probaPass!AG199</f>
        <v>0</v>
      </c>
      <c r="B199">
        <f>probaFail!AH199</f>
        <v>0</v>
      </c>
      <c r="C199">
        <f>probaDropout!AI199</f>
        <v>1</v>
      </c>
      <c r="E199" t="str">
        <f t="shared" si="6"/>
        <v>[0;0;1]</v>
      </c>
      <c r="J199" t="str">
        <f t="shared" si="7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;[1;0;0];[1;0;0];[0;0;1];[1;0;0];[1;0;0];[0,793103448275862;0;0,206896551724138];[1;0;0];[0;0;1]</v>
      </c>
    </row>
    <row r="200" spans="1:10" x14ac:dyDescent="0.25">
      <c r="A200">
        <f>probaPass!AG200</f>
        <v>0.7931034482758621</v>
      </c>
      <c r="B200">
        <f>probaFail!AH200</f>
        <v>0</v>
      </c>
      <c r="C200">
        <f>probaDropout!AI200</f>
        <v>0.20689655172413793</v>
      </c>
      <c r="E200" t="str">
        <f t="shared" si="6"/>
        <v>[0,793103448275862;0;0,206896551724138]</v>
      </c>
      <c r="J200" t="str">
        <f t="shared" si="7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;[1;0;0];[1;0;0];[0;0;1];[1;0;0];[1;0;0];[0,793103448275862;0;0,206896551724138];[1;0;0];[0;0;1];[0,793103448275862;0;0,206896551724138]</v>
      </c>
    </row>
    <row r="201" spans="1:10" x14ac:dyDescent="0.25">
      <c r="A201">
        <f>probaPass!AG201</f>
        <v>0</v>
      </c>
      <c r="B201">
        <f>probaFail!AH201</f>
        <v>0</v>
      </c>
      <c r="C201">
        <f>probaDropout!AI201</f>
        <v>1</v>
      </c>
      <c r="E201" t="str">
        <f t="shared" si="6"/>
        <v>[0;0;1]</v>
      </c>
      <c r="J201" t="str">
        <f t="shared" si="7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;[1;0;0];[1;0;0];[0;0;1];[1;0;0];[1;0;0];[0,793103448275862;0;0,206896551724138];[1;0;0];[0;0;1];[0,793103448275862;0;0,206896551724138];[0;0;1]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Sys-Pass_lr</vt:lpstr>
      <vt:lpstr>Sys-Fail_lr</vt:lpstr>
      <vt:lpstr>Sys-Dropout_lr</vt:lpstr>
      <vt:lpstr>probaPass</vt:lpstr>
      <vt:lpstr>probaFail</vt:lpstr>
      <vt:lpstr>probaDropout</vt:lpstr>
      <vt:lpstr>Proba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2024-08-23T12:56:04Z</dcterms:modified>
</cp:coreProperties>
</file>